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rms &amp; Assumptions" sheetId="1" state="visible" r:id="rId3"/>
    <sheet name="Project Schedule" sheetId="2" state="visible" r:id="rId4"/>
    <sheet name="Compartment Targets" sheetId="3" state="visible" r:id="rId5"/>
    <sheet name="Operator Daily Log" sheetId="4" state="visible" r:id="rId6"/>
    <sheet name="Consumables Tracker" sheetId="5" state="visible" r:id="rId7"/>
    <sheet name="Performance Dashboard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<sst xmlns="http://schemas.openxmlformats.org/spreadsheetml/2006/main" count="1682" uniqueCount="400">
  <si>
    <t xml:space="preserve">PINE FELLING PRODUCTION PLAN – NORMS &amp; ASSUMPTIONS</t>
  </si>
  <si>
    <t xml:space="preserve">Nkomati Mine, Mpumalanga, South Africa  |  Equipment: Stihl MS 382  |  Mon–Fri 07:00–15:30</t>
  </si>
  <si>
    <t xml:space="preserve">SECTION 1 – PROJECT SCHEDULE &amp; STAFFING</t>
  </si>
  <si>
    <t xml:space="preserve">Parameter</t>
  </si>
  <si>
    <t xml:space="preserve">Value</t>
  </si>
  <si>
    <t xml:space="preserve">Unit</t>
  </si>
  <si>
    <t xml:space="preserve">Notes</t>
  </si>
  <si>
    <t xml:space="preserve">Project Start Date</t>
  </si>
  <si>
    <t xml:space="preserve">date</t>
  </si>
  <si>
    <t xml:space="preserve">First working day on site</t>
  </si>
  <si>
    <t xml:space="preserve">Phase 2 Start (4 operators)</t>
  </si>
  <si>
    <t xml:space="preserve">2 additional operators join</t>
  </si>
  <si>
    <t xml:space="preserve">Operators – Phase 1 (30 Mar – 07 Apr)</t>
  </si>
  <si>
    <t xml:space="preserve">operators</t>
  </si>
  <si>
    <t xml:space="preserve">2 chainsaw operators</t>
  </si>
  <si>
    <t xml:space="preserve">Operators – Phase 2 (08 Apr onwards)</t>
  </si>
  <si>
    <t xml:space="preserve">4 chainsaw operators total</t>
  </si>
  <si>
    <t xml:space="preserve">Shift start</t>
  </si>
  <si>
    <t xml:space="preserve">07:00</t>
  </si>
  <si>
    <t xml:space="preserve">hh:mm</t>
  </si>
  <si>
    <t xml:space="preserve">07:00 daily</t>
  </si>
  <si>
    <t xml:space="preserve">Shift end</t>
  </si>
  <si>
    <t xml:space="preserve">15:30</t>
  </si>
  <si>
    <t xml:space="preserve">15:30 daily</t>
  </si>
  <si>
    <t xml:space="preserve">Working hours per shift</t>
  </si>
  <si>
    <t xml:space="preserve">hrs</t>
  </si>
  <si>
    <t xml:space="preserve">07:00–15:30 gross</t>
  </si>
  <si>
    <t xml:space="preserve">Effective cutting hours</t>
  </si>
  <si>
    <t xml:space="preserve">Excl. travel, fueling, sharpening, breaks</t>
  </si>
  <si>
    <t xml:space="preserve">Working days</t>
  </si>
  <si>
    <t xml:space="preserve">Mon–Fri</t>
  </si>
  <si>
    <t xml:space="preserve">Excluding SA public holidays</t>
  </si>
  <si>
    <t xml:space="preserve">SECTION 2 – 2026 SA PUBLIC HOLIDAYS (Days NOT worked)</t>
  </si>
  <si>
    <t xml:space="preserve">Date</t>
  </si>
  <si>
    <t xml:space="preserve">Holiday</t>
  </si>
  <si>
    <t xml:space="preserve">Day</t>
  </si>
  <si>
    <t xml:space="preserve">Impact on Schedule</t>
  </si>
  <si>
    <t xml:space="preserve">New Year's Day</t>
  </si>
  <si>
    <t xml:space="preserve">Thursday</t>
  </si>
  <si>
    <t xml:space="preserve">Before project start</t>
  </si>
  <si>
    <t xml:space="preserve">Human Rights Day</t>
  </si>
  <si>
    <t xml:space="preserve">Saturday</t>
  </si>
  <si>
    <t xml:space="preserve">Good Friday</t>
  </si>
  <si>
    <t xml:space="preserve">Friday</t>
  </si>
  <si>
    <t xml:space="preserve">⚠ Project day lost – no production</t>
  </si>
  <si>
    <t xml:space="preserve">Family Day (Easter Monday)</t>
  </si>
  <si>
    <t xml:space="preserve">Monday</t>
  </si>
  <si>
    <t xml:space="preserve">Freedom Day</t>
  </si>
  <si>
    <t xml:space="preserve">Workers' Day</t>
  </si>
  <si>
    <t xml:space="preserve">Youth Day</t>
  </si>
  <si>
    <t xml:space="preserve">Tuesday</t>
  </si>
  <si>
    <t xml:space="preserve">National Women's Day</t>
  </si>
  <si>
    <t xml:space="preserve">Sunday</t>
  </si>
  <si>
    <t xml:space="preserve">Heritage Day</t>
  </si>
  <si>
    <t xml:space="preserve">Day of Reconciliation</t>
  </si>
  <si>
    <t xml:space="preserve">Wednesday</t>
  </si>
  <si>
    <t xml:space="preserve">Christmas Day</t>
  </si>
  <si>
    <t xml:space="preserve">Day of Goodwill</t>
  </si>
  <si>
    <t xml:space="preserve">SECTION 3 – SA CHAINSAW FELLING NORMS (Stihl MS 382)</t>
  </si>
  <si>
    <t xml:space="preserve">Source / Notes</t>
  </si>
  <si>
    <t xml:space="preserve">Trees felled per operator per day</t>
  </si>
  <si>
    <t xml:space="preserve">trees/day</t>
  </si>
  <si>
    <t xml:space="preserve">SA Forestry norm – clear-fell pine, flat-moderate terrain</t>
  </si>
  <si>
    <t xml:space="preserve">Avg tree volume – mature pine &gt;15yr</t>
  </si>
  <si>
    <t xml:space="preserve">m³/tree</t>
  </si>
  <si>
    <t xml:space="preserve">FSA guideline, Mpumalanga pine 25–35cm DBH</t>
  </si>
  <si>
    <t xml:space="preserve">Avg tree volume – young pine &lt;15yr</t>
  </si>
  <si>
    <t xml:space="preserve">FSA guideline, smaller diameter stands</t>
  </si>
  <si>
    <t xml:space="preserve">Target m³ per operator per day</t>
  </si>
  <si>
    <t xml:space="preserve">m³/day</t>
  </si>
  <si>
    <t xml:space="preserve">150 trees x 0.35 m3 (mature pine)</t>
  </si>
  <si>
    <t xml:space="preserve">Average trees per hectare</t>
  </si>
  <si>
    <t xml:space="preserve">trees/ha</t>
  </si>
  <si>
    <t xml:space="preserve">Plantation norm; adjust per compartment</t>
  </si>
  <si>
    <t xml:space="preserve">Terrain adjustment – hilly/sloped</t>
  </si>
  <si>
    <t xml:space="preserve">factor</t>
  </si>
  <si>
    <t xml:space="preserve">15% reduction for difficult terrain</t>
  </si>
  <si>
    <t xml:space="preserve">SECTION 4 – CONSUMABLES NORMS (per operator per day, Stihl MS 382)</t>
  </si>
  <si>
    <t xml:space="preserve">2-stroke fuel mix (50:1)</t>
  </si>
  <si>
    <t xml:space="preserve">litres/day</t>
  </si>
  <si>
    <t xml:space="preserve">Petrol + 2T oil mixed 50:1</t>
  </si>
  <si>
    <t xml:space="preserve">Bar &amp; chain oil</t>
  </si>
  <si>
    <t xml:space="preserve">Automatic oiler consumption</t>
  </si>
  <si>
    <t xml:space="preserve">Saw chains (replacements)</t>
  </si>
  <si>
    <t xml:space="preserve">chains/day</t>
  </si>
  <si>
    <t xml:space="preserve">~1 chain per 2 days hard cutting</t>
  </si>
  <si>
    <t xml:space="preserve">Cutting guide bar (wear)</t>
  </si>
  <si>
    <t xml:space="preserve">bars/day</t>
  </si>
  <si>
    <t xml:space="preserve">Replace approx every 20 working days</t>
  </si>
  <si>
    <t xml:space="preserve">PPE – gloves (pairs)</t>
  </si>
  <si>
    <t xml:space="preserve">pairs/day</t>
  </si>
  <si>
    <t xml:space="preserve">Replace every 5 days</t>
  </si>
  <si>
    <t xml:space="preserve">File (chain sharpening 4mm)</t>
  </si>
  <si>
    <t xml:space="preserve">files/day</t>
  </si>
  <si>
    <t xml:space="preserve">4mm round file for MS 382</t>
  </si>
  <si>
    <t xml:space="preserve">Spark plugs</t>
  </si>
  <si>
    <t xml:space="preserve">plugs/day</t>
  </si>
  <si>
    <t xml:space="preserve">Replace every 20 days</t>
  </si>
  <si>
    <t xml:space="preserve">Air filter</t>
  </si>
  <si>
    <t xml:space="preserve">filters/day</t>
  </si>
  <si>
    <t xml:space="preserve">Replace every 30 days</t>
  </si>
  <si>
    <t xml:space="preserve">COLOUR LEGEND</t>
  </si>
  <si>
    <t xml:space="preserve">Blue cells</t>
  </si>
  <si>
    <t xml:space="preserve">User input cells – enter your data here</t>
  </si>
  <si>
    <t xml:space="preserve">Grey cells</t>
  </si>
  <si>
    <t xml:space="preserve">Calculated formula cells – do not edit</t>
  </si>
  <si>
    <t xml:space="preserve">Orange cells</t>
  </si>
  <si>
    <t xml:space="preserve">SA Public Holiday – no production day</t>
  </si>
  <si>
    <t xml:space="preserve">Light green</t>
  </si>
  <si>
    <t xml:space="preserve">Phase 2 rows (4 operators from 08 Apr)</t>
  </si>
  <si>
    <t xml:space="preserve">PROJECT SCHEDULE – DAY-BY-DAY PRODUCTION CALENDAR</t>
  </si>
  <si>
    <t xml:space="preserve">Start: 30 Mar 2026  |  Phase 1: 2 operators  |  Phase 2 from 08 Apr: 4 operators  |  Mon–Fri 07:00–15:30  |  SA Holidays excluded</t>
  </si>
  <si>
    <t xml:space="preserve">PHASE 1  (30 Mar – 07 Apr 2026) – 2 Operators</t>
  </si>
  <si>
    <t xml:space="preserve">PHASE 2  (08 Apr 2026 onwards) – 4 Operators</t>
  </si>
  <si>
    <t xml:space="preserve">Day of
Week</t>
  </si>
  <si>
    <t xml:space="preserve">Status</t>
  </si>
  <si>
    <t xml:space="preserve">Operators
Working</t>
  </si>
  <si>
    <t xml:space="preserve">Target
Trees/Day</t>
  </si>
  <si>
    <t xml:space="preserve">Target
m³/Day</t>
  </si>
  <si>
    <t xml:space="preserve">Actual
Trees</t>
  </si>
  <si>
    <t xml:space="preserve">Actual
m³</t>
  </si>
  <si>
    <t xml:space="preserve">Tree
Variance</t>
  </si>
  <si>
    <t xml:space="preserve">m³
Variance</t>
  </si>
  <si>
    <t xml:space="preserve">Achievement
%</t>
  </si>
  <si>
    <t xml:space="preserve">Phase 1 – Working Day 1</t>
  </si>
  <si>
    <t xml:space="preserve">Phase 1 – Working Day 2</t>
  </si>
  <si>
    <t xml:space="preserve">Phase 1 – Working Day 3</t>
  </si>
  <si>
    <t xml:space="preserve">Phase 1 – Working Day 4</t>
  </si>
  <si>
    <t xml:space="preserve">🏖 Good Friday</t>
  </si>
  <si>
    <t xml:space="preserve">Weekend</t>
  </si>
  <si>
    <t xml:space="preserve">🏖 Family Day (Easter Monday)</t>
  </si>
  <si>
    <t xml:space="preserve">Phase 1 – Working Day 5</t>
  </si>
  <si>
    <t xml:space="preserve">Phase 2 – Working Day 6</t>
  </si>
  <si>
    <t xml:space="preserve">Phase 2 – Working Day 7</t>
  </si>
  <si>
    <t xml:space="preserve">Phase 2 – Working Day 8</t>
  </si>
  <si>
    <t xml:space="preserve">Phase 2 – Working Day 9</t>
  </si>
  <si>
    <t xml:space="preserve">Phase 2 – Working Day 10</t>
  </si>
  <si>
    <t xml:space="preserve">Phase 2 – Working Day 11</t>
  </si>
  <si>
    <t xml:space="preserve">Phase 2 – Working Day 12</t>
  </si>
  <si>
    <t xml:space="preserve">Phase 2 – Working Day 13</t>
  </si>
  <si>
    <t xml:space="preserve">Phase 2 – Working Day 14</t>
  </si>
  <si>
    <t xml:space="preserve">Phase 2 – Working Day 15</t>
  </si>
  <si>
    <t xml:space="preserve">Phase 2 – Working Day 16</t>
  </si>
  <si>
    <t xml:space="preserve">Phase 2 – Working Day 17</t>
  </si>
  <si>
    <t xml:space="preserve">Phase 2 – Working Day 18</t>
  </si>
  <si>
    <t xml:space="preserve">🏖 Freedom Day</t>
  </si>
  <si>
    <t xml:space="preserve">Phase 2 – Working Day 19</t>
  </si>
  <si>
    <t xml:space="preserve">Phase 2 – Working Day 20</t>
  </si>
  <si>
    <t xml:space="preserve">Phase 2 – Working Day 21</t>
  </si>
  <si>
    <t xml:space="preserve">🏖 Workers' Day</t>
  </si>
  <si>
    <t xml:space="preserve">Phase 2 – Working Day 22</t>
  </si>
  <si>
    <t xml:space="preserve">Phase 2 – Working Day 23</t>
  </si>
  <si>
    <t xml:space="preserve">Phase 2 – Working Day 24</t>
  </si>
  <si>
    <t xml:space="preserve">Phase 2 – Working Day 25</t>
  </si>
  <si>
    <t xml:space="preserve">Phase 2 – Working Day 26</t>
  </si>
  <si>
    <t xml:space="preserve">Phase 2 – Working Day 27</t>
  </si>
  <si>
    <t xml:space="preserve">Phase 2 – Working Day 28</t>
  </si>
  <si>
    <t xml:space="preserve">Phase 2 – Working Day 29</t>
  </si>
  <si>
    <t xml:space="preserve">Phase 2 – Working Day 30</t>
  </si>
  <si>
    <t xml:space="preserve">Phase 2 – Working Day 31</t>
  </si>
  <si>
    <t xml:space="preserve">Phase 2 – Working Day 32</t>
  </si>
  <si>
    <t xml:space="preserve">Phase 2 – Working Day 33</t>
  </si>
  <si>
    <t xml:space="preserve">Phase 2 – Working Day 34</t>
  </si>
  <si>
    <t xml:space="preserve">Phase 2 – Working Day 35</t>
  </si>
  <si>
    <t xml:space="preserve">Phase 2 – Working Day 36</t>
  </si>
  <si>
    <t xml:space="preserve">Phase 2 – Working Day 37</t>
  </si>
  <si>
    <t xml:space="preserve">Phase 2 – Working Day 38</t>
  </si>
  <si>
    <t xml:space="preserve">Phase 2 – Working Day 39</t>
  </si>
  <si>
    <t xml:space="preserve">Phase 2 – Working Day 40</t>
  </si>
  <si>
    <t xml:space="preserve">Phase 2 – Working Day 41</t>
  </si>
  <si>
    <t xml:space="preserve">Phase 2 – Working Day 42</t>
  </si>
  <si>
    <t xml:space="preserve">Phase 2 – Working Day 43</t>
  </si>
  <si>
    <t xml:space="preserve">Phase 2 – Working Day 44</t>
  </si>
  <si>
    <t xml:space="preserve">Phase 2 – Working Day 45</t>
  </si>
  <si>
    <t xml:space="preserve">Phase 2 – Working Day 46</t>
  </si>
  <si>
    <t xml:space="preserve">Phase 2 – Working Day 47</t>
  </si>
  <si>
    <t xml:space="preserve">Phase 2 – Working Day 48</t>
  </si>
  <si>
    <t xml:space="preserve">Phase 2 – Working Day 49</t>
  </si>
  <si>
    <t xml:space="preserve">Phase 2 – Working Day 50</t>
  </si>
  <si>
    <t xml:space="preserve">Phase 2 – Working Day 51</t>
  </si>
  <si>
    <t xml:space="preserve">Phase 2 – Working Day 52</t>
  </si>
  <si>
    <t xml:space="preserve">🏖 Youth Day</t>
  </si>
  <si>
    <t xml:space="preserve">Phase 2 – Working Day 53</t>
  </si>
  <si>
    <t xml:space="preserve">Phase 2 – Working Day 54</t>
  </si>
  <si>
    <t xml:space="preserve">Phase 2 – Working Day 55</t>
  </si>
  <si>
    <t xml:space="preserve">Phase 2 – Working Day 56</t>
  </si>
  <si>
    <t xml:space="preserve">Phase 2 – Working Day 57</t>
  </si>
  <si>
    <t xml:space="preserve">Phase 2 – Working Day 58</t>
  </si>
  <si>
    <t xml:space="preserve">Phase 2 – Working Day 59</t>
  </si>
  <si>
    <t xml:space="preserve">Phase 2 – Working Day 60</t>
  </si>
  <si>
    <t xml:space="preserve">Phase 2 – Working Day 61</t>
  </si>
  <si>
    <t xml:space="preserve">Phase 2 – Working Day 62</t>
  </si>
  <si>
    <t xml:space="preserve">Phase 2 – Working Day 63</t>
  </si>
  <si>
    <t xml:space="preserve">Phase 2 – Working Day 64</t>
  </si>
  <si>
    <t xml:space="preserve">Phase 2 – Working Day 65</t>
  </si>
  <si>
    <t xml:space="preserve">Phase 2 – Working Day 66</t>
  </si>
  <si>
    <t xml:space="preserve">Phase 2 – Working Day 67</t>
  </si>
  <si>
    <t xml:space="preserve">Phase 2 – Working Day 68</t>
  </si>
  <si>
    <t xml:space="preserve">Phase 2 – Working Day 69</t>
  </si>
  <si>
    <t xml:space="preserve">Phase 2 – Working Day 70</t>
  </si>
  <si>
    <t xml:space="preserve">Phase 2 – Working Day 71</t>
  </si>
  <si>
    <t xml:space="preserve">Phase 2 – Working Day 72</t>
  </si>
  <si>
    <t xml:space="preserve">Phase 2 – Working Day 73</t>
  </si>
  <si>
    <t xml:space="preserve">Phase 2 – Working Day 74</t>
  </si>
  <si>
    <t xml:space="preserve">Phase 2 – Working Day 75</t>
  </si>
  <si>
    <t xml:space="preserve">Phase 2 – Working Day 76</t>
  </si>
  <si>
    <t xml:space="preserve">Phase 2 – Working Day 77</t>
  </si>
  <si>
    <t xml:space="preserve">Phase 2 – Working Day 78</t>
  </si>
  <si>
    <t xml:space="preserve">Phase 2 – Working Day 79</t>
  </si>
  <si>
    <t xml:space="preserve">Phase 2 – Working Day 80</t>
  </si>
  <si>
    <t xml:space="preserve">Phase 2 – Working Day 81</t>
  </si>
  <si>
    <t xml:space="preserve">Phase 2 – Working Day 82</t>
  </si>
  <si>
    <t xml:space="preserve">Phase 2 – Working Day 83</t>
  </si>
  <si>
    <t xml:space="preserve">Phase 2 – Working Day 84</t>
  </si>
  <si>
    <t xml:space="preserve">Phase 2 – Working Day 85</t>
  </si>
  <si>
    <t xml:space="preserve">Phase 2 – Working Day 86</t>
  </si>
  <si>
    <t xml:space="preserve">Phase 2 – Working Day 87</t>
  </si>
  <si>
    <t xml:space="preserve">Phase 2 – Working Day 88</t>
  </si>
  <si>
    <t xml:space="preserve">Phase 2 – Working Day 89</t>
  </si>
  <si>
    <t xml:space="preserve">Phase 2 – Working Day 90</t>
  </si>
  <si>
    <t xml:space="preserve">🏖 National Women's Day</t>
  </si>
  <si>
    <t xml:space="preserve">Phase 2 – Working Day 91</t>
  </si>
  <si>
    <t xml:space="preserve">Phase 2 – Working Day 92</t>
  </si>
  <si>
    <t xml:space="preserve">Phase 2 – Working Day 93</t>
  </si>
  <si>
    <t xml:space="preserve">Phase 2 – Working Day 94</t>
  </si>
  <si>
    <t xml:space="preserve">Phase 2 – Working Day 95</t>
  </si>
  <si>
    <t xml:space="preserve">Phase 2 – Working Day 96</t>
  </si>
  <si>
    <t xml:space="preserve">Phase 2 – Working Day 97</t>
  </si>
  <si>
    <t xml:space="preserve">Phase 2 – Working Day 98</t>
  </si>
  <si>
    <t xml:space="preserve">Phase 2 – Working Day 99</t>
  </si>
  <si>
    <t xml:space="preserve">Phase 2 – Working Day 100</t>
  </si>
  <si>
    <t xml:space="preserve">Phase 2 – Working Day 101</t>
  </si>
  <si>
    <t xml:space="preserve">Phase 2 – Working Day 102</t>
  </si>
  <si>
    <t xml:space="preserve">Phase 2 – Working Day 103</t>
  </si>
  <si>
    <t xml:space="preserve">Phase 2 – Working Day 104</t>
  </si>
  <si>
    <t xml:space="preserve">Phase 2 – Working Day 105</t>
  </si>
  <si>
    <t xml:space="preserve">Phase 2 – Working Day 106</t>
  </si>
  <si>
    <t xml:space="preserve">Phase 2 – Working Day 107</t>
  </si>
  <si>
    <t xml:space="preserve">Phase 2 – Working Day 108</t>
  </si>
  <si>
    <t xml:space="preserve">Phase 2 – Working Day 109</t>
  </si>
  <si>
    <t xml:space="preserve">Phase 2 – Working Day 110</t>
  </si>
  <si>
    <t xml:space="preserve">Phase 2 – Working Day 111</t>
  </si>
  <si>
    <t xml:space="preserve">Phase 2 – Working Day 112</t>
  </si>
  <si>
    <t xml:space="preserve">Phase 2 – Working Day 113</t>
  </si>
  <si>
    <t xml:space="preserve">Phase 2 – Working Day 114</t>
  </si>
  <si>
    <t xml:space="preserve">Phase 2 – Working Day 115</t>
  </si>
  <si>
    <t xml:space="preserve">Phase 2 – Working Day 116</t>
  </si>
  <si>
    <t xml:space="preserve">Phase 2 – Working Day 117</t>
  </si>
  <si>
    <t xml:space="preserve">Phase 2 – Working Day 118</t>
  </si>
  <si>
    <t xml:space="preserve">Phase 2 – Working Day 119</t>
  </si>
  <si>
    <t xml:space="preserve">Phase 2 – Working Day 120</t>
  </si>
  <si>
    <t xml:space="preserve">Phase 2 – Working Day 121</t>
  </si>
  <si>
    <t xml:space="preserve">Phase 2 – Working Day 122</t>
  </si>
  <si>
    <t xml:space="preserve">Phase 2 – Working Day 123</t>
  </si>
  <si>
    <t xml:space="preserve">🏖 Heritage Day</t>
  </si>
  <si>
    <t xml:space="preserve">Phase 2 – Working Day 124</t>
  </si>
  <si>
    <t xml:space="preserve">Phase 2 – Working Day 125</t>
  </si>
  <si>
    <t xml:space="preserve">Phase 2 – Working Day 126</t>
  </si>
  <si>
    <t xml:space="preserve">Phase 2 – Working Day 127</t>
  </si>
  <si>
    <t xml:space="preserve">Phase 2 – Working Day 128</t>
  </si>
  <si>
    <t xml:space="preserve">Phase 2 – Working Day 129</t>
  </si>
  <si>
    <t xml:space="preserve">Phase 2 – Working Day 130</t>
  </si>
  <si>
    <t xml:space="preserve">Phase 2 – Working Day 131</t>
  </si>
  <si>
    <t xml:space="preserve">Phase 2 – Working Day 132</t>
  </si>
  <si>
    <t xml:space="preserve">Phase 2 – Working Day 133</t>
  </si>
  <si>
    <t xml:space="preserve">Phase 2 – Working Day 134</t>
  </si>
  <si>
    <t xml:space="preserve">Phase 2 – Working Day 135</t>
  </si>
  <si>
    <t xml:space="preserve">Phase 2 – Working Day 136</t>
  </si>
  <si>
    <t xml:space="preserve">Phase 2 – Working Day 137</t>
  </si>
  <si>
    <t xml:space="preserve">Phase 2 – Working Day 138</t>
  </si>
  <si>
    <t xml:space="preserve">Phase 2 – Working Day 139</t>
  </si>
  <si>
    <t xml:space="preserve">Phase 2 – Working Day 140</t>
  </si>
  <si>
    <t xml:space="preserve">Phase 2 – Working Day 141</t>
  </si>
  <si>
    <t xml:space="preserve">Phase 2 – Working Day 142</t>
  </si>
  <si>
    <t xml:space="preserve">Phase 2 – Working Day 143</t>
  </si>
  <si>
    <t xml:space="preserve">Phase 2 – Working Day 144</t>
  </si>
  <si>
    <t xml:space="preserve">Phase 2 – Working Day 145</t>
  </si>
  <si>
    <t xml:space="preserve">Phase 2 – Working Day 146</t>
  </si>
  <si>
    <t xml:space="preserve">Phase 2 – Working Day 147</t>
  </si>
  <si>
    <t xml:space="preserve">Phase 2 – Working Day 148</t>
  </si>
  <si>
    <t xml:space="preserve">Phase 2 – Working Day 149</t>
  </si>
  <si>
    <t xml:space="preserve">PROJECT TOTALS</t>
  </si>
  <si>
    <t xml:space="preserve">COMPARTMENT PRODUCTION TARGETS – PINE CLEAR FELLING</t>
  </si>
  <si>
    <t xml:space="preserve">Nkomati Mine, Mpumalanga  |  Start: 30 Mar 2026  |  All targets per SA Forestry Norms</t>
  </si>
  <si>
    <t xml:space="preserve">COMPARTMENT</t>
  </si>
  <si>
    <t xml:space="preserve">VOLUME &amp; TREE ESTIMATES</t>
  </si>
  <si>
    <t xml:space="preserve">PHASE 1  (2 operators)</t>
  </si>
  <si>
    <t xml:space="preserve">PHASE 2  (4 operators from 08 Apr)</t>
  </si>
  <si>
    <t xml:space="preserve">#</t>
  </si>
  <si>
    <t xml:space="preserve">Compartment / Block</t>
  </si>
  <si>
    <t xml:space="preserve">Area (ha)</t>
  </si>
  <si>
    <t xml:space="preserve">Trees/ha</t>
  </si>
  <si>
    <t xml:space="preserve">Est. Trees</t>
  </si>
  <si>
    <t xml:space="preserve">Est. Vol (m³)</t>
  </si>
  <si>
    <t xml:space="preserve">Ph1 Target
Days</t>
  </si>
  <si>
    <t xml:space="preserve">Ph1 Target
End Date</t>
  </si>
  <si>
    <t xml:space="preserve">Ph1 Trees
/Op/Day</t>
  </si>
  <si>
    <t xml:space="preserve">Ph2 Target
Days</t>
  </si>
  <si>
    <t xml:space="preserve">Ph2 Target
End Date</t>
  </si>
  <si>
    <t xml:space="preserve">Ph2 Trees
/Op/Day</t>
  </si>
  <si>
    <t xml:space="preserve">A</t>
  </si>
  <si>
    <t xml:space="preserve">B</t>
  </si>
  <si>
    <t xml:space="preserve">C</t>
  </si>
  <si>
    <t xml:space="preserve">D</t>
  </si>
  <si>
    <t xml:space="preserve">Block 12.68ha</t>
  </si>
  <si>
    <t xml:space="preserve">Block 3.97ha</t>
  </si>
  <si>
    <t xml:space="preserve">Block 2.40ha</t>
  </si>
  <si>
    <t xml:space="preserve">Block 0.863ha</t>
  </si>
  <si>
    <t xml:space="preserve">Block 2.503ha</t>
  </si>
  <si>
    <t xml:space="preserve">Block 0.317ha</t>
  </si>
  <si>
    <t xml:space="preserve">Block 5ha (est)</t>
  </si>
  <si>
    <t xml:space="preserve">42.9ha – Outside fence</t>
  </si>
  <si>
    <t xml:space="preserve">14.9ha – Outside fence</t>
  </si>
  <si>
    <t xml:space="preserve">TOTALS</t>
  </si>
  <si>
    <t xml:space="preserve">⚠  Compartments A, B, C, D: Enter exact hectares in blue cells (Col C).  Trees/ha (Col D) can be adjusted per stand inventory.  Phase 1 = 2 operators (30 Mar–07 Apr) | Phase 2 = 4 operators (08 Apr+)</t>
  </si>
  <si>
    <t xml:space="preserve">OPERATOR DAILY LOG – INDIVIDUAL PERFORMANCE TRACKER</t>
  </si>
  <si>
    <t xml:space="preserve">One row per operator per day  |  Blue cells = enter actual values</t>
  </si>
  <si>
    <t xml:space="preserve">Operator Name</t>
  </si>
  <si>
    <t xml:space="preserve">Compartment</t>
  </si>
  <si>
    <t xml:space="preserve">Chainsaw
Serial #</t>
  </si>
  <si>
    <t xml:space="preserve">Tree Var</t>
  </si>
  <si>
    <t xml:space="preserve">m³ Var</t>
  </si>
  <si>
    <t xml:space="preserve">Achievement %</t>
  </si>
  <si>
    <t xml:space="preserve">Notes / Issues</t>
  </si>
  <si>
    <t xml:space="preserve">PERIOD TOTALS</t>
  </si>
  <si>
    <t xml:space="preserve">CONSUMABLES DAILY TRACKER – ACTUAL vs TARGET USAGE</t>
  </si>
  <si>
    <t xml:space="preserve">Operators working auto-adjusts: 2 ops before 08 Apr | 4 ops from 08 Apr onwards</t>
  </si>
  <si>
    <t xml:space="preserve">Consumable Item</t>
  </si>
  <si>
    <t xml:space="preserve">Target/Op/Day</t>
  </si>
  <si>
    <t xml:space="preserve">Total Target
/Day</t>
  </si>
  <si>
    <t xml:space="preserve">Actual
Issued</t>
  </si>
  <si>
    <t xml:space="preserve">Variance</t>
  </si>
  <si>
    <t xml:space="preserve">Fuel mix (2-stroke 50:1)</t>
  </si>
  <si>
    <t xml:space="preserve">litres</t>
  </si>
  <si>
    <t xml:space="preserve">Saw chains</t>
  </si>
  <si>
    <t xml:space="preserve">chains</t>
  </si>
  <si>
    <t xml:space="preserve">Guide bar</t>
  </si>
  <si>
    <t xml:space="preserve">bars</t>
  </si>
  <si>
    <t xml:space="preserve">Gloves (pairs)</t>
  </si>
  <si>
    <t xml:space="preserve">pairs</t>
  </si>
  <si>
    <t xml:space="preserve">Round file (4mm)</t>
  </si>
  <si>
    <t xml:space="preserve">files</t>
  </si>
  <si>
    <t xml:space="preserve">Spark plug</t>
  </si>
  <si>
    <t xml:space="preserve">plugs</t>
  </si>
  <si>
    <t xml:space="preserve">filters</t>
  </si>
  <si>
    <t xml:space="preserve">PERFORMANCE DASHBOARD – PROJECT SUMMARY</t>
  </si>
  <si>
    <t xml:space="preserve">Auto-calculated from Project Schedule &amp; Operator Log | Start: 30 Mar 2026</t>
  </si>
  <si>
    <t xml:space="preserve">PROJECT INFORMATION</t>
  </si>
  <si>
    <t xml:space="preserve">30 March 2026</t>
  </si>
  <si>
    <t xml:space="preserve">Phase 1 (2 operators)</t>
  </si>
  <si>
    <t xml:space="preserve">30 Mar – 07 Apr 2026</t>
  </si>
  <si>
    <t xml:space="preserve">Mon–Fri 07:00–15:30</t>
  </si>
  <si>
    <t xml:space="preserve">Phase 2 (4 operators)</t>
  </si>
  <si>
    <t xml:space="preserve">08 Apr 2026 onwards</t>
  </si>
  <si>
    <t xml:space="preserve">Shift Hours</t>
  </si>
  <si>
    <t xml:space="preserve">07:00 – 15:30</t>
  </si>
  <si>
    <t xml:space="preserve">8.5 hrs gross | 6.5 hrs effective cutting</t>
  </si>
  <si>
    <t xml:space="preserve">Equipment</t>
  </si>
  <si>
    <t xml:space="preserve">Stihl MS 382</t>
  </si>
  <si>
    <t xml:space="preserve">One saw per operator (SA OHS)</t>
  </si>
  <si>
    <t xml:space="preserve">SA Holidays in project</t>
  </si>
  <si>
    <t xml:space="preserve">10</t>
  </si>
  <si>
    <t xml:space="preserve">Days with zero production</t>
  </si>
  <si>
    <t xml:space="preserve">PRODUCTION KPIs (from Project Schedule)</t>
  </si>
  <si>
    <t xml:space="preserve">KPI</t>
  </si>
  <si>
    <t xml:space="preserve">Target</t>
  </si>
  <si>
    <t xml:space="preserve">Actual</t>
  </si>
  <si>
    <t xml:space="preserve">Total Trees – Target (Project)</t>
  </si>
  <si>
    <t xml:space="preserve">Total Volume m³ – Target</t>
  </si>
  <si>
    <t xml:space="preserve">Overall Achievement %</t>
  </si>
  <si>
    <t xml:space="preserve">100%</t>
  </si>
  <si>
    <t xml:space="preserve">Working Days – Phase 1 (2 ops)</t>
  </si>
  <si>
    <t xml:space="preserve">5</t>
  </si>
  <si>
    <t xml:space="preserve">→ Enter actuals</t>
  </si>
  <si>
    <t xml:space="preserve">—</t>
  </si>
  <si>
    <t xml:space="preserve">Working Days – Phase 2 (4 ops)</t>
  </si>
  <si>
    <t xml:space="preserve">See Project Schedule</t>
  </si>
  <si>
    <t xml:space="preserve">Phase 1 Cumulative Target Trees</t>
  </si>
  <si>
    <t xml:space="preserve">1500</t>
  </si>
  <si>
    <t xml:space="preserve">Phase 1 Cumulative Target m³</t>
  </si>
  <si>
    <t xml:space="preserve">525.0</t>
  </si>
  <si>
    <t xml:space="preserve">PHASE PRODUCTION SUMMARY</t>
  </si>
  <si>
    <t xml:space="preserve">Phase</t>
  </si>
  <si>
    <t xml:space="preserve">Period</t>
  </si>
  <si>
    <t xml:space="preserve">Operators</t>
  </si>
  <si>
    <t xml:space="preserve">Working Days</t>
  </si>
  <si>
    <t xml:space="preserve">Trees Target</t>
  </si>
  <si>
    <t xml:space="preserve">Phase 1</t>
  </si>
  <si>
    <t xml:space="preserve">2</t>
  </si>
  <si>
    <t xml:space="preserve">Phase 2</t>
  </si>
  <si>
    <t xml:space="preserve">4</t>
  </si>
  <si>
    <t xml:space="preserve">See Schedule</t>
  </si>
  <si>
    <t xml:space="preserve">Per schedule</t>
  </si>
  <si>
    <t xml:space="preserve">HOW TO USE THIS WORKBOOK</t>
  </si>
  <si>
    <t xml:space="preserve">1. NORMS &amp; ASSUMPTIONS: Review SA norms, SA holiday list, and project schedule dates.</t>
  </si>
  <si>
    <t xml:space="preserve">2. PROJECT SCHEDULE: This is your master calendar. Enter actual trees felled &amp; m³ per working day (blue cells).</t>
  </si>
  <si>
    <t xml:space="preserve">3. COMPARTMENT TARGETS: Enter exact hectares for blocks A–D. Adjust trees/ha per stand inventory.</t>
  </si>
  <si>
    <t xml:space="preserve">4. OPERATOR DAILY LOG: Log individual operator performance (one row per person per day).</t>
  </si>
  <si>
    <t xml:space="preserve">5. CONSUMABLES TRACKER: Enter daily consumables issued. Operators auto-adjust by date phase.</t>
  </si>
  <si>
    <t xml:space="preserve">6. PERFORMANCE DASHBOARD: Summarises everything – review weekly for corrective actions.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</si>
</sst>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dd\-mmm\-yyyy"/>
    <numFmt numFmtId="166" formatCode="dd\-mmm\-yy"/>
    <numFmt numFmtId="167" formatCode="#,##0"/>
    <numFmt numFmtId="168" formatCode="#,##0.0"/>
    <numFmt numFmtId="169" formatCode="\+#,##0;\-#,##0;0"/>
    <numFmt numFmtId="170" formatCode="\+#,##0.0;\-#,##0.0;0.0"/>
    <numFmt numFmtId="171" formatCode="0%"/>
    <numFmt numFmtId="172" formatCode="0.000"/>
    <numFmt numFmtId="173" formatCode="0"/>
    <numFmt numFmtId="174" formatCode="0.0"/>
    <numFmt numFmtId="175" formatCode="\+0;\-0;0"/>
    <numFmt numFmtId="176" formatCode="\+0.0;\-0.0;0.0"/>
    <numFmt numFmtId="177" formatCode="\+0.000;\-0.000;0.000"/>
    <numFmt numFmtId="178" formatCode="0.0%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424242"/>
      <name val="Arial"/>
      <family val="0"/>
      <charset val="1"/>
    </font>
    <font>
      <b val="true"/>
      <sz val="10"/>
      <color rgb="FF1A237E"/>
      <name val="Arial"/>
      <family val="0"/>
      <charset val="1"/>
    </font>
    <font>
      <sz val="10"/>
      <color rgb="FF1A237E"/>
      <name val="Arial"/>
      <family val="0"/>
      <charset val="1"/>
    </font>
    <font>
      <sz val="1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sz val="9"/>
      <color rgb="FF424242"/>
      <name val="Arial"/>
      <family val="0"/>
      <charset val="1"/>
    </font>
    <font>
      <b val="true"/>
      <sz val="9"/>
      <color rgb="FFE65100"/>
      <name val="Arial"/>
      <family val="0"/>
      <charset val="1"/>
    </font>
    <font>
      <sz val="10"/>
      <color rgb="FF212121"/>
      <name val="Arial"/>
      <family val="0"/>
      <charset val="1"/>
    </font>
    <font>
      <sz val="9"/>
      <color rgb="FFBF360C"/>
      <name val="Arial"/>
      <family val="0"/>
      <charset val="1"/>
    </font>
    <font>
      <sz val="9"/>
      <color rgb="FF78909C"/>
      <name val="Arial"/>
      <family val="0"/>
      <charset val="1"/>
    </font>
    <font>
      <b val="true"/>
      <sz val="9"/>
      <color rgb="FF1B5E20"/>
      <name val="Arial"/>
      <family val="0"/>
      <charset val="1"/>
    </font>
    <font>
      <b val="true"/>
      <sz val="10"/>
      <color rgb="FF212121"/>
      <name val="Arial"/>
      <family val="0"/>
      <charset val="1"/>
    </font>
    <font>
      <i val="true"/>
      <sz val="9"/>
      <color rgb="FF6D4C41"/>
      <name val="Arial"/>
      <family val="0"/>
      <charset val="1"/>
    </font>
    <font>
      <b val="true"/>
      <sz val="10"/>
      <color rgb="FF424242"/>
      <name val="Arial"/>
      <family val="0"/>
      <charset val="1"/>
    </font>
    <font>
      <sz val="10"/>
      <color rgb="FF2E7D52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1A3C34"/>
        <bgColor rgb="FF212121"/>
      </patternFill>
    </fill>
    <fill>
      <patternFill patternType="solid">
        <fgColor rgb="FF2E7D52"/>
        <bgColor rgb="FF008080"/>
      </patternFill>
    </fill>
    <fill>
      <patternFill patternType="solid">
        <fgColor rgb="FF424242"/>
        <bgColor rgb="FF1A3C34"/>
      </patternFill>
    </fill>
    <fill>
      <patternFill patternType="solid">
        <fgColor rgb="FFFFFFFF"/>
        <bgColor rgb="FFF9FBE7"/>
      </patternFill>
    </fill>
    <fill>
      <patternFill patternType="solid">
        <fgColor rgb="FFE3F2FD"/>
        <bgColor rgb="FFECEFF1"/>
      </patternFill>
    </fill>
    <fill>
      <patternFill patternType="solid">
        <fgColor rgb="FFFFE0B2"/>
        <bgColor rgb="FFFFCDD2"/>
      </patternFill>
    </fill>
    <fill>
      <patternFill patternType="solid">
        <fgColor rgb="FFF5F5F5"/>
        <bgColor rgb="FFECEFF1"/>
      </patternFill>
    </fill>
    <fill>
      <patternFill patternType="solid">
        <fgColor rgb="FFE8F5E9"/>
        <bgColor rgb="FFECEFF1"/>
      </patternFill>
    </fill>
    <fill>
      <patternFill patternType="solid">
        <fgColor rgb="FFE65100"/>
        <bgColor rgb="FFBF360C"/>
      </patternFill>
    </fill>
    <fill>
      <patternFill patternType="solid">
        <fgColor rgb="FFFFF8E1"/>
        <bgColor rgb="FFFFF3E0"/>
      </patternFill>
    </fill>
    <fill>
      <patternFill patternType="solid">
        <fgColor rgb="FFECEFF1"/>
        <bgColor rgb="FFE8F5E9"/>
      </patternFill>
    </fill>
    <fill>
      <patternFill patternType="solid">
        <fgColor rgb="FFC8E6C9"/>
        <bgColor rgb="FFE8F5E9"/>
      </patternFill>
    </fill>
    <fill>
      <patternFill patternType="solid">
        <fgColor rgb="FFFFF3E0"/>
        <bgColor rgb="FFFFF8E1"/>
      </patternFill>
    </fill>
    <fill>
      <patternFill patternType="solid">
        <fgColor rgb="FFF9FBE7"/>
        <bgColor rgb="FFFFF8E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7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2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20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0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0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0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0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0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4" fontId="1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1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1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1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1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b val="1"/>
        <color rgb="FF1B5E20"/>
      </font>
      <fill>
        <patternFill>
          <bgColor rgb="FFC8E6C9"/>
        </patternFill>
      </fill>
    </dxf>
    <dxf>
      <font>
        <color rgb="FFE65100"/>
      </font>
      <fill>
        <patternFill>
          <bgColor rgb="FFFFF9C4"/>
        </patternFill>
      </fill>
    </dxf>
    <dxf>
      <font>
        <b val="1"/>
        <color rgb="FFB71C1C"/>
      </font>
      <fill>
        <patternFill>
          <bgColor rgb="FFFFCDD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9FBE7"/>
      <rgbColor rgb="FFFF00FF"/>
      <rgbColor rgb="FF00FFFF"/>
      <rgbColor rgb="FFB71C1C"/>
      <rgbColor rgb="FF1B5E20"/>
      <rgbColor rgb="FF000080"/>
      <rgbColor rgb="FF808000"/>
      <rgbColor rgb="FF6A1B9A"/>
      <rgbColor rgb="FF008080"/>
      <rgbColor rgb="FFBDBDBD"/>
      <rgbColor rgb="FF78909C"/>
      <rgbColor rgb="FF9999FF"/>
      <rgbColor rgb="FF6D4C41"/>
      <rgbColor rgb="FFFFF9C4"/>
      <rgbColor rgb="FFE3F2FD"/>
      <rgbColor rgb="FF660066"/>
      <rgbColor rgb="FFFF8080"/>
      <rgbColor rgb="FF1565C0"/>
      <rgbColor rgb="FFFFCDD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C8E6C9"/>
      <rgbColor rgb="FFFFF8E1"/>
      <rgbColor rgb="FFECEFF1"/>
      <rgbColor rgb="FFFFF3E0"/>
      <rgbColor rgb="FFF5F5F5"/>
      <rgbColor rgb="FFFFE0B2"/>
      <rgbColor rgb="FF3366FF"/>
      <rgbColor rgb="FF33CCCC"/>
      <rgbColor rgb="FF99CC00"/>
      <rgbColor rgb="FFFFCC00"/>
      <rgbColor rgb="FFF9A825"/>
      <rgbColor rgb="FFE65100"/>
      <rgbColor rgb="FF666699"/>
      <rgbColor rgb="FF969696"/>
      <rgbColor rgb="FF1A237E"/>
      <rgbColor rgb="FF2E7D52"/>
      <rgbColor rgb="FF1A3C34"/>
      <rgbColor rgb="FF212121"/>
      <rgbColor rgb="FFBF360C"/>
      <rgbColor rgb="FFC62828"/>
      <rgbColor rgb="FF333399"/>
      <rgbColor rgb="FF42424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3C34"/>
    <pageSetUpPr fitToPage="false"/>
  </sheetPr>
  <dimension ref="A1:D5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3" min="2" style="1" width="18"/>
    <col collapsed="false" customWidth="true" hidden="false" outlineLevel="0" max="4" min="4" style="1" width="35"/>
  </cols>
  <sheetData>
    <row r="1" customFormat="false" ht="42" hidden="false" customHeight="true" outlineLevel="0" collapsed="false">
      <c r="A1" s="2" t="s">
        <v>0</v>
      </c>
      <c r="B1" s="2"/>
      <c r="C1" s="2"/>
      <c r="D1" s="2"/>
    </row>
    <row r="2" customFormat="false" ht="21.75" hidden="false" customHeight="true" outlineLevel="0" collapsed="false">
      <c r="A2" s="3" t="s">
        <v>1</v>
      </c>
      <c r="B2" s="3"/>
      <c r="C2" s="3"/>
      <c r="D2" s="3"/>
    </row>
    <row r="4" customFormat="false" ht="15" hidden="false" customHeight="true" outlineLevel="0" collapsed="false">
      <c r="A4" s="4" t="s">
        <v>2</v>
      </c>
      <c r="B4" s="4"/>
      <c r="C4" s="4"/>
      <c r="D4" s="4"/>
    </row>
    <row r="5" customFormat="false" ht="15" hidden="false" customHeight="true" outlineLevel="0" collapsed="false">
      <c r="A5" s="5" t="s">
        <v>3</v>
      </c>
      <c r="B5" s="5" t="s">
        <v>4</v>
      </c>
      <c r="C5" s="5" t="s">
        <v>5</v>
      </c>
      <c r="D5" s="5" t="s">
        <v>6</v>
      </c>
    </row>
    <row r="6" customFormat="false" ht="18" hidden="false" customHeight="true" outlineLevel="0" collapsed="false">
      <c r="A6" s="6" t="s">
        <v>7</v>
      </c>
      <c r="B6" s="7" t="n">
        <v>46111</v>
      </c>
      <c r="C6" s="8" t="s">
        <v>8</v>
      </c>
      <c r="D6" s="6" t="s">
        <v>9</v>
      </c>
    </row>
    <row r="7" customFormat="false" ht="18" hidden="false" customHeight="true" outlineLevel="0" collapsed="false">
      <c r="A7" s="6" t="s">
        <v>10</v>
      </c>
      <c r="B7" s="7" t="n">
        <v>46120</v>
      </c>
      <c r="C7" s="8" t="s">
        <v>8</v>
      </c>
      <c r="D7" s="6" t="s">
        <v>11</v>
      </c>
    </row>
    <row r="8" customFormat="false" ht="18" hidden="false" customHeight="true" outlineLevel="0" collapsed="false">
      <c r="A8" s="6" t="s">
        <v>12</v>
      </c>
      <c r="B8" s="9" t="n">
        <v>2</v>
      </c>
      <c r="C8" s="8" t="s">
        <v>13</v>
      </c>
      <c r="D8" s="6" t="s">
        <v>14</v>
      </c>
    </row>
    <row r="9" customFormat="false" ht="18" hidden="false" customHeight="true" outlineLevel="0" collapsed="false">
      <c r="A9" s="6" t="s">
        <v>15</v>
      </c>
      <c r="B9" s="9" t="n">
        <v>4</v>
      </c>
      <c r="C9" s="8" t="s">
        <v>13</v>
      </c>
      <c r="D9" s="6" t="s">
        <v>16</v>
      </c>
    </row>
    <row r="10" customFormat="false" ht="18" hidden="false" customHeight="true" outlineLevel="0" collapsed="false">
      <c r="A10" s="6" t="s">
        <v>17</v>
      </c>
      <c r="B10" s="10" t="s">
        <v>18</v>
      </c>
      <c r="C10" s="8" t="s">
        <v>19</v>
      </c>
      <c r="D10" s="6" t="s">
        <v>20</v>
      </c>
    </row>
    <row r="11" customFormat="false" ht="18" hidden="false" customHeight="true" outlineLevel="0" collapsed="false">
      <c r="A11" s="6" t="s">
        <v>21</v>
      </c>
      <c r="B11" s="10" t="s">
        <v>22</v>
      </c>
      <c r="C11" s="8" t="s">
        <v>19</v>
      </c>
      <c r="D11" s="6" t="s">
        <v>23</v>
      </c>
    </row>
    <row r="12" customFormat="false" ht="18" hidden="false" customHeight="true" outlineLevel="0" collapsed="false">
      <c r="A12" s="6" t="s">
        <v>24</v>
      </c>
      <c r="B12" s="10" t="n">
        <v>8.5</v>
      </c>
      <c r="C12" s="8" t="s">
        <v>25</v>
      </c>
      <c r="D12" s="6" t="s">
        <v>26</v>
      </c>
    </row>
    <row r="13" customFormat="false" ht="18" hidden="false" customHeight="true" outlineLevel="0" collapsed="false">
      <c r="A13" s="6" t="s">
        <v>27</v>
      </c>
      <c r="B13" s="10" t="n">
        <v>6.5</v>
      </c>
      <c r="C13" s="8" t="s">
        <v>25</v>
      </c>
      <c r="D13" s="6" t="s">
        <v>28</v>
      </c>
    </row>
    <row r="14" customFormat="false" ht="18" hidden="false" customHeight="true" outlineLevel="0" collapsed="false">
      <c r="A14" s="6" t="s">
        <v>29</v>
      </c>
      <c r="B14" s="10" t="s">
        <v>30</v>
      </c>
      <c r="C14" s="8"/>
      <c r="D14" s="6" t="s">
        <v>31</v>
      </c>
    </row>
    <row r="16" customFormat="false" ht="15" hidden="false" customHeight="true" outlineLevel="0" collapsed="false">
      <c r="A16" s="4" t="s">
        <v>32</v>
      </c>
      <c r="B16" s="4"/>
      <c r="C16" s="4"/>
      <c r="D16" s="4"/>
    </row>
    <row r="17" customFormat="false" ht="15" hidden="false" customHeight="true" outlineLevel="0" collapsed="false">
      <c r="A17" s="5" t="s">
        <v>33</v>
      </c>
      <c r="B17" s="5" t="s">
        <v>34</v>
      </c>
      <c r="C17" s="5" t="s">
        <v>35</v>
      </c>
      <c r="D17" s="5" t="s">
        <v>36</v>
      </c>
    </row>
    <row r="18" customFormat="false" ht="18" hidden="false" customHeight="true" outlineLevel="0" collapsed="false">
      <c r="A18" s="11" t="n">
        <v>46023</v>
      </c>
      <c r="B18" s="12" t="s">
        <v>37</v>
      </c>
      <c r="C18" s="13" t="s">
        <v>38</v>
      </c>
      <c r="D18" s="6" t="s">
        <v>39</v>
      </c>
    </row>
    <row r="19" customFormat="false" ht="18" hidden="false" customHeight="true" outlineLevel="0" collapsed="false">
      <c r="A19" s="11" t="n">
        <v>46102</v>
      </c>
      <c r="B19" s="12" t="s">
        <v>40</v>
      </c>
      <c r="C19" s="13" t="s">
        <v>41</v>
      </c>
      <c r="D19" s="6" t="s">
        <v>39</v>
      </c>
    </row>
    <row r="20" customFormat="false" ht="18" hidden="false" customHeight="true" outlineLevel="0" collapsed="false">
      <c r="A20" s="11" t="n">
        <v>46115</v>
      </c>
      <c r="B20" s="12" t="s">
        <v>42</v>
      </c>
      <c r="C20" s="13" t="s">
        <v>43</v>
      </c>
      <c r="D20" s="12" t="s">
        <v>44</v>
      </c>
    </row>
    <row r="21" customFormat="false" ht="18" hidden="false" customHeight="true" outlineLevel="0" collapsed="false">
      <c r="A21" s="11" t="n">
        <v>46118</v>
      </c>
      <c r="B21" s="12" t="s">
        <v>45</v>
      </c>
      <c r="C21" s="13" t="s">
        <v>46</v>
      </c>
      <c r="D21" s="12" t="s">
        <v>44</v>
      </c>
    </row>
    <row r="22" customFormat="false" ht="18" hidden="false" customHeight="true" outlineLevel="0" collapsed="false">
      <c r="A22" s="11" t="n">
        <v>46139</v>
      </c>
      <c r="B22" s="12" t="s">
        <v>47</v>
      </c>
      <c r="C22" s="13" t="s">
        <v>46</v>
      </c>
      <c r="D22" s="12" t="s">
        <v>44</v>
      </c>
    </row>
    <row r="23" customFormat="false" ht="18" hidden="false" customHeight="true" outlineLevel="0" collapsed="false">
      <c r="A23" s="11" t="n">
        <v>46143</v>
      </c>
      <c r="B23" s="12" t="s">
        <v>48</v>
      </c>
      <c r="C23" s="13" t="s">
        <v>43</v>
      </c>
      <c r="D23" s="12" t="s">
        <v>44</v>
      </c>
    </row>
    <row r="24" customFormat="false" ht="18" hidden="false" customHeight="true" outlineLevel="0" collapsed="false">
      <c r="A24" s="11" t="n">
        <v>46189</v>
      </c>
      <c r="B24" s="12" t="s">
        <v>49</v>
      </c>
      <c r="C24" s="13" t="s">
        <v>50</v>
      </c>
      <c r="D24" s="12" t="s">
        <v>44</v>
      </c>
    </row>
    <row r="25" customFormat="false" ht="18" hidden="false" customHeight="true" outlineLevel="0" collapsed="false">
      <c r="A25" s="11" t="n">
        <v>46243</v>
      </c>
      <c r="B25" s="12" t="s">
        <v>51</v>
      </c>
      <c r="C25" s="13" t="s">
        <v>52</v>
      </c>
      <c r="D25" s="12" t="s">
        <v>44</v>
      </c>
    </row>
    <row r="26" customFormat="false" ht="18" hidden="false" customHeight="true" outlineLevel="0" collapsed="false">
      <c r="A26" s="11" t="n">
        <v>46289</v>
      </c>
      <c r="B26" s="12" t="s">
        <v>53</v>
      </c>
      <c r="C26" s="13" t="s">
        <v>38</v>
      </c>
      <c r="D26" s="12" t="s">
        <v>44</v>
      </c>
    </row>
    <row r="27" customFormat="false" ht="18" hidden="false" customHeight="true" outlineLevel="0" collapsed="false">
      <c r="A27" s="11" t="n">
        <v>46372</v>
      </c>
      <c r="B27" s="12" t="s">
        <v>54</v>
      </c>
      <c r="C27" s="13" t="s">
        <v>55</v>
      </c>
      <c r="D27" s="12" t="s">
        <v>44</v>
      </c>
    </row>
    <row r="28" customFormat="false" ht="18" hidden="false" customHeight="true" outlineLevel="0" collapsed="false">
      <c r="A28" s="11" t="n">
        <v>46381</v>
      </c>
      <c r="B28" s="12" t="s">
        <v>56</v>
      </c>
      <c r="C28" s="13" t="s">
        <v>43</v>
      </c>
      <c r="D28" s="12" t="s">
        <v>44</v>
      </c>
    </row>
    <row r="29" customFormat="false" ht="18" hidden="false" customHeight="true" outlineLevel="0" collapsed="false">
      <c r="A29" s="11" t="n">
        <v>46382</v>
      </c>
      <c r="B29" s="12" t="s">
        <v>57</v>
      </c>
      <c r="C29" s="13" t="s">
        <v>41</v>
      </c>
      <c r="D29" s="12" t="s">
        <v>44</v>
      </c>
    </row>
    <row r="31" customFormat="false" ht="15" hidden="false" customHeight="true" outlineLevel="0" collapsed="false">
      <c r="A31" s="4" t="s">
        <v>58</v>
      </c>
      <c r="B31" s="4"/>
      <c r="C31" s="4"/>
      <c r="D31" s="4"/>
    </row>
    <row r="32" customFormat="false" ht="15" hidden="false" customHeight="true" outlineLevel="0" collapsed="false">
      <c r="A32" s="5" t="s">
        <v>3</v>
      </c>
      <c r="B32" s="5" t="s">
        <v>4</v>
      </c>
      <c r="C32" s="5" t="s">
        <v>5</v>
      </c>
      <c r="D32" s="5" t="s">
        <v>59</v>
      </c>
    </row>
    <row r="33" customFormat="false" ht="18" hidden="false" customHeight="true" outlineLevel="0" collapsed="false">
      <c r="A33" s="6" t="s">
        <v>60</v>
      </c>
      <c r="B33" s="10" t="n">
        <v>150</v>
      </c>
      <c r="C33" s="8" t="s">
        <v>61</v>
      </c>
      <c r="D33" s="6" t="s">
        <v>62</v>
      </c>
    </row>
    <row r="34" customFormat="false" ht="18" hidden="false" customHeight="true" outlineLevel="0" collapsed="false">
      <c r="A34" s="6" t="s">
        <v>63</v>
      </c>
      <c r="B34" s="10" t="n">
        <v>0.35</v>
      </c>
      <c r="C34" s="8" t="s">
        <v>64</v>
      </c>
      <c r="D34" s="6" t="s">
        <v>65</v>
      </c>
    </row>
    <row r="35" customFormat="false" ht="18" hidden="false" customHeight="true" outlineLevel="0" collapsed="false">
      <c r="A35" s="6" t="s">
        <v>66</v>
      </c>
      <c r="B35" s="10" t="n">
        <v>0.18</v>
      </c>
      <c r="C35" s="8" t="s">
        <v>64</v>
      </c>
      <c r="D35" s="6" t="s">
        <v>67</v>
      </c>
    </row>
    <row r="36" customFormat="false" ht="18" hidden="false" customHeight="true" outlineLevel="0" collapsed="false">
      <c r="A36" s="6" t="s">
        <v>68</v>
      </c>
      <c r="B36" s="10" t="n">
        <v>52.5</v>
      </c>
      <c r="C36" s="8" t="s">
        <v>69</v>
      </c>
      <c r="D36" s="6" t="s">
        <v>70</v>
      </c>
    </row>
    <row r="37" customFormat="false" ht="18" hidden="false" customHeight="true" outlineLevel="0" collapsed="false">
      <c r="A37" s="6" t="s">
        <v>71</v>
      </c>
      <c r="B37" s="10" t="n">
        <v>800</v>
      </c>
      <c r="C37" s="8" t="s">
        <v>72</v>
      </c>
      <c r="D37" s="6" t="s">
        <v>73</v>
      </c>
    </row>
    <row r="38" customFormat="false" ht="18" hidden="false" customHeight="true" outlineLevel="0" collapsed="false">
      <c r="A38" s="6" t="s">
        <v>74</v>
      </c>
      <c r="B38" s="10" t="n">
        <v>0.85</v>
      </c>
      <c r="C38" s="8" t="s">
        <v>75</v>
      </c>
      <c r="D38" s="6" t="s">
        <v>76</v>
      </c>
    </row>
    <row r="41" customFormat="false" ht="15" hidden="false" customHeight="true" outlineLevel="0" collapsed="false">
      <c r="A41" s="4" t="s">
        <v>77</v>
      </c>
      <c r="B41" s="4"/>
      <c r="C41" s="4"/>
      <c r="D41" s="4"/>
    </row>
    <row r="42" customFormat="false" ht="15" hidden="false" customHeight="true" outlineLevel="0" collapsed="false">
      <c r="A42" s="5" t="s">
        <v>3</v>
      </c>
      <c r="B42" s="5" t="s">
        <v>4</v>
      </c>
      <c r="C42" s="5" t="s">
        <v>5</v>
      </c>
      <c r="D42" s="5" t="s">
        <v>6</v>
      </c>
    </row>
    <row r="43" customFormat="false" ht="18" hidden="false" customHeight="true" outlineLevel="0" collapsed="false">
      <c r="A43" s="6" t="s">
        <v>78</v>
      </c>
      <c r="B43" s="10" t="n">
        <v>2.5</v>
      </c>
      <c r="C43" s="8" t="s">
        <v>79</v>
      </c>
      <c r="D43" s="6" t="s">
        <v>80</v>
      </c>
    </row>
    <row r="44" customFormat="false" ht="18" hidden="false" customHeight="true" outlineLevel="0" collapsed="false">
      <c r="A44" s="6" t="s">
        <v>81</v>
      </c>
      <c r="B44" s="10" t="n">
        <v>1.2</v>
      </c>
      <c r="C44" s="8" t="s">
        <v>79</v>
      </c>
      <c r="D44" s="6" t="s">
        <v>82</v>
      </c>
    </row>
    <row r="45" customFormat="false" ht="18" hidden="false" customHeight="true" outlineLevel="0" collapsed="false">
      <c r="A45" s="6" t="s">
        <v>83</v>
      </c>
      <c r="B45" s="10" t="n">
        <v>0.5</v>
      </c>
      <c r="C45" s="8" t="s">
        <v>84</v>
      </c>
      <c r="D45" s="6" t="s">
        <v>85</v>
      </c>
    </row>
    <row r="46" customFormat="false" ht="18" hidden="false" customHeight="true" outlineLevel="0" collapsed="false">
      <c r="A46" s="6" t="s">
        <v>86</v>
      </c>
      <c r="B46" s="10" t="n">
        <v>0.05</v>
      </c>
      <c r="C46" s="8" t="s">
        <v>87</v>
      </c>
      <c r="D46" s="6" t="s">
        <v>88</v>
      </c>
    </row>
    <row r="47" customFormat="false" ht="18" hidden="false" customHeight="true" outlineLevel="0" collapsed="false">
      <c r="A47" s="6" t="s">
        <v>89</v>
      </c>
      <c r="B47" s="10" t="n">
        <v>0.2</v>
      </c>
      <c r="C47" s="8" t="s">
        <v>90</v>
      </c>
      <c r="D47" s="6" t="s">
        <v>91</v>
      </c>
    </row>
    <row r="48" customFormat="false" ht="18" hidden="false" customHeight="true" outlineLevel="0" collapsed="false">
      <c r="A48" s="6" t="s">
        <v>92</v>
      </c>
      <c r="B48" s="10" t="n">
        <v>0.2</v>
      </c>
      <c r="C48" s="8" t="s">
        <v>93</v>
      </c>
      <c r="D48" s="6" t="s">
        <v>94</v>
      </c>
    </row>
    <row r="49" customFormat="false" ht="18" hidden="false" customHeight="true" outlineLevel="0" collapsed="false">
      <c r="A49" s="6" t="s">
        <v>95</v>
      </c>
      <c r="B49" s="10" t="n">
        <v>0.05</v>
      </c>
      <c r="C49" s="8" t="s">
        <v>96</v>
      </c>
      <c r="D49" s="6" t="s">
        <v>97</v>
      </c>
    </row>
    <row r="50" customFormat="false" ht="18" hidden="false" customHeight="true" outlineLevel="0" collapsed="false">
      <c r="A50" s="6" t="s">
        <v>98</v>
      </c>
      <c r="B50" s="10" t="n">
        <v>0.033</v>
      </c>
      <c r="C50" s="8" t="s">
        <v>99</v>
      </c>
      <c r="D50" s="6" t="s">
        <v>100</v>
      </c>
    </row>
    <row r="52" customFormat="false" ht="15" hidden="false" customHeight="true" outlineLevel="0" collapsed="false">
      <c r="A52" s="5" t="s">
        <v>101</v>
      </c>
      <c r="B52" s="5"/>
      <c r="C52" s="5"/>
      <c r="D52" s="5"/>
    </row>
    <row r="53" customFormat="false" ht="15.75" hidden="false" customHeight="true" outlineLevel="0" collapsed="false">
      <c r="A53" s="14" t="s">
        <v>102</v>
      </c>
      <c r="B53" s="6"/>
      <c r="C53" s="6"/>
      <c r="D53" s="6" t="s">
        <v>103</v>
      </c>
    </row>
    <row r="54" customFormat="false" ht="15.75" hidden="false" customHeight="true" outlineLevel="0" collapsed="false">
      <c r="A54" s="15" t="s">
        <v>104</v>
      </c>
      <c r="B54" s="6"/>
      <c r="C54" s="6"/>
      <c r="D54" s="6" t="s">
        <v>105</v>
      </c>
    </row>
    <row r="55" customFormat="false" ht="15.75" hidden="false" customHeight="true" outlineLevel="0" collapsed="false">
      <c r="A55" s="16" t="s">
        <v>106</v>
      </c>
      <c r="B55" s="6"/>
      <c r="C55" s="6"/>
      <c r="D55" s="6" t="s">
        <v>107</v>
      </c>
    </row>
    <row r="56" customFormat="false" ht="15.75" hidden="false" customHeight="true" outlineLevel="0" collapsed="false">
      <c r="A56" s="17" t="s">
        <v>108</v>
      </c>
      <c r="B56" s="6"/>
      <c r="C56" s="6"/>
      <c r="D56" s="6" t="s">
        <v>109</v>
      </c>
    </row>
  </sheetData>
  <mergeCells count="7">
    <mergeCell ref="A1:D1"/>
    <mergeCell ref="A2:D2"/>
    <mergeCell ref="A4:D4"/>
    <mergeCell ref="A16:D16"/>
    <mergeCell ref="A31:D31"/>
    <mergeCell ref="A41:D41"/>
    <mergeCell ref="A52:D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52"/>
    <pageSetUpPr fitToPage="false"/>
  </sheetPr>
  <dimension ref="A1:M2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4" min="4" style="1" width="14"/>
    <col collapsed="false" customWidth="true" hidden="false" outlineLevel="0" max="5" min="5" style="1" width="12"/>
    <col collapsed="false" customWidth="true" hidden="false" outlineLevel="0" max="12" min="6" style="1" width="16"/>
    <col collapsed="false" customWidth="true" hidden="false" outlineLevel="0" max="13" min="13" style="1" width="20"/>
  </cols>
  <sheetData>
    <row r="1" customFormat="false" ht="42" hidden="false" customHeight="true" outlineLevel="0" collapsed="false">
      <c r="A1" s="2" t="s">
        <v>110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21.75" hidden="false" customHeight="true" outlineLevel="0" collapsed="false">
      <c r="A2" s="3" t="s">
        <v>111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customFormat="false" ht="15" hidden="false" customHeight="true" outlineLevel="0" collapsed="false">
      <c r="A3" s="18" t="s">
        <v>112</v>
      </c>
      <c r="B3" s="18"/>
      <c r="C3" s="18"/>
      <c r="D3" s="18"/>
      <c r="E3" s="18"/>
      <c r="F3" s="18"/>
      <c r="G3" s="19" t="s">
        <v>113</v>
      </c>
      <c r="H3" s="19"/>
      <c r="I3" s="19"/>
      <c r="J3" s="19"/>
      <c r="K3" s="19"/>
      <c r="L3" s="19"/>
      <c r="M3" s="19"/>
    </row>
    <row r="4" customFormat="false" ht="31.5" hidden="false" customHeight="true" outlineLevel="0" collapsed="false">
      <c r="A4" s="20" t="s">
        <v>35</v>
      </c>
      <c r="B4" s="20" t="s">
        <v>33</v>
      </c>
      <c r="C4" s="20" t="s">
        <v>114</v>
      </c>
      <c r="D4" s="20" t="s">
        <v>115</v>
      </c>
      <c r="E4" s="20" t="s">
        <v>116</v>
      </c>
      <c r="F4" s="20" t="s">
        <v>117</v>
      </c>
      <c r="G4" s="20" t="s">
        <v>118</v>
      </c>
      <c r="H4" s="20" t="s">
        <v>119</v>
      </c>
      <c r="I4" s="20" t="s">
        <v>120</v>
      </c>
      <c r="J4" s="20" t="s">
        <v>121</v>
      </c>
      <c r="K4" s="20" t="s">
        <v>122</v>
      </c>
      <c r="L4" s="20" t="s">
        <v>123</v>
      </c>
      <c r="M4" s="20" t="s">
        <v>6</v>
      </c>
    </row>
    <row r="5" customFormat="false" ht="18" hidden="false" customHeight="true" outlineLevel="0" collapsed="false">
      <c r="A5" s="21" t="n">
        <v>1</v>
      </c>
      <c r="B5" s="22" t="n">
        <v>46111</v>
      </c>
      <c r="C5" s="23" t="s">
        <v>46</v>
      </c>
      <c r="D5" s="24" t="s">
        <v>124</v>
      </c>
      <c r="E5" s="25" t="n">
        <v>2</v>
      </c>
      <c r="F5" s="26" t="n">
        <f aca="false">'Norms &amp; Assumptions'!B33*E5</f>
        <v>300</v>
      </c>
      <c r="G5" s="27" t="n">
        <f aca="false">'Norms &amp; Assumptions'!B35*E5</f>
        <v>0.36</v>
      </c>
      <c r="H5" s="28"/>
      <c r="I5" s="29"/>
      <c r="J5" s="30" t="str">
        <f aca="false">IF(H5="","",H5-F5)</f>
        <v/>
      </c>
      <c r="K5" s="31" t="str">
        <f aca="false">IF(I5="","",I5-G5)</f>
        <v/>
      </c>
      <c r="L5" s="32" t="str">
        <f aca="false">IF(OR(H5="",F5=0),"",H5/F5)</f>
        <v/>
      </c>
      <c r="M5" s="33"/>
    </row>
    <row r="6" customFormat="false" ht="18" hidden="false" customHeight="true" outlineLevel="0" collapsed="false">
      <c r="A6" s="21" t="n">
        <v>2</v>
      </c>
      <c r="B6" s="22" t="n">
        <v>46112</v>
      </c>
      <c r="C6" s="23" t="s">
        <v>50</v>
      </c>
      <c r="D6" s="24" t="s">
        <v>125</v>
      </c>
      <c r="E6" s="25" t="n">
        <v>2</v>
      </c>
      <c r="F6" s="26" t="n">
        <f aca="false">'Norms &amp; Assumptions'!B33*E6</f>
        <v>300</v>
      </c>
      <c r="G6" s="27" t="n">
        <f aca="false">'Norms &amp; Assumptions'!B35*E6</f>
        <v>0.36</v>
      </c>
      <c r="H6" s="28"/>
      <c r="I6" s="29"/>
      <c r="J6" s="30" t="str">
        <f aca="false">IF(H6="","",H6-F6)</f>
        <v/>
      </c>
      <c r="K6" s="31" t="str">
        <f aca="false">IF(I6="","",I6-G6)</f>
        <v/>
      </c>
      <c r="L6" s="32" t="str">
        <f aca="false">IF(OR(H6="",F6=0),"",H6/F6)</f>
        <v/>
      </c>
      <c r="M6" s="33"/>
    </row>
    <row r="7" customFormat="false" ht="18" hidden="false" customHeight="true" outlineLevel="0" collapsed="false">
      <c r="A7" s="21" t="n">
        <v>3</v>
      </c>
      <c r="B7" s="22" t="n">
        <v>46113</v>
      </c>
      <c r="C7" s="23" t="s">
        <v>55</v>
      </c>
      <c r="D7" s="24" t="s">
        <v>126</v>
      </c>
      <c r="E7" s="25" t="n">
        <v>2</v>
      </c>
      <c r="F7" s="26" t="n">
        <f aca="false">'Norms &amp; Assumptions'!B33*E7</f>
        <v>300</v>
      </c>
      <c r="G7" s="27" t="n">
        <f aca="false">'Norms &amp; Assumptions'!B35*E7</f>
        <v>0.36</v>
      </c>
      <c r="H7" s="28"/>
      <c r="I7" s="29"/>
      <c r="J7" s="30" t="str">
        <f aca="false">IF(H7="","",H7-F7)</f>
        <v/>
      </c>
      <c r="K7" s="31" t="str">
        <f aca="false">IF(I7="","",I7-G7)</f>
        <v/>
      </c>
      <c r="L7" s="32" t="str">
        <f aca="false">IF(OR(H7="",F7=0),"",H7/F7)</f>
        <v/>
      </c>
      <c r="M7" s="33"/>
    </row>
    <row r="8" customFormat="false" ht="18" hidden="false" customHeight="true" outlineLevel="0" collapsed="false">
      <c r="A8" s="21" t="n">
        <v>4</v>
      </c>
      <c r="B8" s="22" t="n">
        <v>46114</v>
      </c>
      <c r="C8" s="23" t="s">
        <v>38</v>
      </c>
      <c r="D8" s="24" t="s">
        <v>127</v>
      </c>
      <c r="E8" s="25" t="n">
        <v>2</v>
      </c>
      <c r="F8" s="26" t="n">
        <f aca="false">'Norms &amp; Assumptions'!B33*E8</f>
        <v>300</v>
      </c>
      <c r="G8" s="27" t="n">
        <f aca="false">'Norms &amp; Assumptions'!B35*E8</f>
        <v>0.36</v>
      </c>
      <c r="H8" s="28"/>
      <c r="I8" s="29"/>
      <c r="J8" s="30" t="str">
        <f aca="false">IF(H8="","",H8-F8)</f>
        <v/>
      </c>
      <c r="K8" s="31" t="str">
        <f aca="false">IF(I8="","",I8-G8)</f>
        <v/>
      </c>
      <c r="L8" s="32" t="str">
        <f aca="false">IF(OR(H8="",F8=0),"",H8/F8)</f>
        <v/>
      </c>
      <c r="M8" s="33"/>
    </row>
    <row r="9" customFormat="false" ht="18" hidden="false" customHeight="true" outlineLevel="0" collapsed="false">
      <c r="A9" s="34"/>
      <c r="B9" s="35" t="n">
        <v>46115</v>
      </c>
      <c r="C9" s="36" t="s">
        <v>43</v>
      </c>
      <c r="D9" s="37" t="s">
        <v>128</v>
      </c>
      <c r="E9" s="38" t="n">
        <v>0</v>
      </c>
      <c r="F9" s="34" t="n">
        <v>0</v>
      </c>
      <c r="G9" s="34" t="n">
        <v>0</v>
      </c>
      <c r="H9" s="34"/>
      <c r="I9" s="34"/>
      <c r="J9" s="34"/>
      <c r="K9" s="34"/>
      <c r="L9" s="34"/>
      <c r="M9" s="34"/>
    </row>
    <row r="10" customFormat="false" ht="18" hidden="false" customHeight="true" outlineLevel="0" collapsed="false">
      <c r="A10" s="39"/>
      <c r="B10" s="40" t="n">
        <v>46116</v>
      </c>
      <c r="C10" s="41" t="s">
        <v>41</v>
      </c>
      <c r="D10" s="42" t="s">
        <v>129</v>
      </c>
      <c r="E10" s="43" t="n">
        <v>0</v>
      </c>
      <c r="F10" s="39" t="n">
        <v>0</v>
      </c>
      <c r="G10" s="39" t="n">
        <v>0</v>
      </c>
      <c r="H10" s="39"/>
      <c r="I10" s="39"/>
      <c r="J10" s="39"/>
      <c r="K10" s="39"/>
      <c r="L10" s="39"/>
      <c r="M10" s="39"/>
    </row>
    <row r="11" customFormat="false" ht="18" hidden="false" customHeight="true" outlineLevel="0" collapsed="false">
      <c r="A11" s="39"/>
      <c r="B11" s="40" t="n">
        <v>46117</v>
      </c>
      <c r="C11" s="41" t="s">
        <v>52</v>
      </c>
      <c r="D11" s="42" t="s">
        <v>129</v>
      </c>
      <c r="E11" s="43" t="n">
        <v>0</v>
      </c>
      <c r="F11" s="39" t="n">
        <v>0</v>
      </c>
      <c r="G11" s="39" t="n">
        <v>0</v>
      </c>
      <c r="H11" s="39"/>
      <c r="I11" s="39"/>
      <c r="J11" s="39"/>
      <c r="K11" s="39"/>
      <c r="L11" s="39"/>
      <c r="M11" s="39"/>
    </row>
    <row r="12" customFormat="false" ht="18" hidden="false" customHeight="true" outlineLevel="0" collapsed="false">
      <c r="A12" s="34"/>
      <c r="B12" s="35" t="n">
        <v>46118</v>
      </c>
      <c r="C12" s="36" t="s">
        <v>46</v>
      </c>
      <c r="D12" s="37" t="s">
        <v>130</v>
      </c>
      <c r="E12" s="38" t="n">
        <v>0</v>
      </c>
      <c r="F12" s="34" t="n">
        <v>0</v>
      </c>
      <c r="G12" s="34" t="n">
        <v>0</v>
      </c>
      <c r="H12" s="34"/>
      <c r="I12" s="34"/>
      <c r="J12" s="34"/>
      <c r="K12" s="34"/>
      <c r="L12" s="34"/>
      <c r="M12" s="34"/>
    </row>
    <row r="13" customFormat="false" ht="18" hidden="false" customHeight="true" outlineLevel="0" collapsed="false">
      <c r="A13" s="21" t="n">
        <v>5</v>
      </c>
      <c r="B13" s="22" t="n">
        <v>46119</v>
      </c>
      <c r="C13" s="23" t="s">
        <v>50</v>
      </c>
      <c r="D13" s="24" t="s">
        <v>131</v>
      </c>
      <c r="E13" s="25" t="n">
        <v>2</v>
      </c>
      <c r="F13" s="26" t="n">
        <f aca="false">'Norms &amp; Assumptions'!B33*E13</f>
        <v>300</v>
      </c>
      <c r="G13" s="27" t="n">
        <f aca="false">'Norms &amp; Assumptions'!B35*E13</f>
        <v>0.36</v>
      </c>
      <c r="H13" s="28"/>
      <c r="I13" s="29"/>
      <c r="J13" s="30" t="str">
        <f aca="false">IF(H13="","",H13-F13)</f>
        <v/>
      </c>
      <c r="K13" s="31" t="str">
        <f aca="false">IF(I13="","",I13-G13)</f>
        <v/>
      </c>
      <c r="L13" s="32" t="str">
        <f aca="false">IF(OR(H13="",F13=0),"",H13/F13)</f>
        <v/>
      </c>
      <c r="M13" s="33"/>
    </row>
    <row r="14" customFormat="false" ht="18" hidden="false" customHeight="true" outlineLevel="0" collapsed="false">
      <c r="A14" s="44" t="n">
        <v>6</v>
      </c>
      <c r="B14" s="45" t="n">
        <v>46120</v>
      </c>
      <c r="C14" s="46" t="s">
        <v>55</v>
      </c>
      <c r="D14" s="47" t="s">
        <v>132</v>
      </c>
      <c r="E14" s="48" t="n">
        <v>4</v>
      </c>
      <c r="F14" s="26" t="n">
        <f aca="false">'Norms &amp; Assumptions'!B33*E14</f>
        <v>600</v>
      </c>
      <c r="G14" s="27" t="n">
        <f aca="false">'Norms &amp; Assumptions'!B35*E14</f>
        <v>0.72</v>
      </c>
      <c r="H14" s="28"/>
      <c r="I14" s="29"/>
      <c r="J14" s="30" t="str">
        <f aca="false">IF(H14="","",H14-F14)</f>
        <v/>
      </c>
      <c r="K14" s="31" t="str">
        <f aca="false">IF(I14="","",I14-G14)</f>
        <v/>
      </c>
      <c r="L14" s="32" t="str">
        <f aca="false">IF(OR(H14="",F14=0),"",H14/F14)</f>
        <v/>
      </c>
      <c r="M14" s="33"/>
    </row>
    <row r="15" customFormat="false" ht="18" hidden="false" customHeight="true" outlineLevel="0" collapsed="false">
      <c r="A15" s="44" t="n">
        <v>7</v>
      </c>
      <c r="B15" s="45" t="n">
        <v>46121</v>
      </c>
      <c r="C15" s="46" t="s">
        <v>38</v>
      </c>
      <c r="D15" s="47" t="s">
        <v>133</v>
      </c>
      <c r="E15" s="48" t="n">
        <v>4</v>
      </c>
      <c r="F15" s="26" t="n">
        <f aca="false">'Norms &amp; Assumptions'!B33*E15</f>
        <v>600</v>
      </c>
      <c r="G15" s="27" t="n">
        <f aca="false">'Norms &amp; Assumptions'!B35*E15</f>
        <v>0.72</v>
      </c>
      <c r="H15" s="28"/>
      <c r="I15" s="29"/>
      <c r="J15" s="30" t="str">
        <f aca="false">IF(H15="","",H15-F15)</f>
        <v/>
      </c>
      <c r="K15" s="31" t="str">
        <f aca="false">IF(I15="","",I15-G15)</f>
        <v/>
      </c>
      <c r="L15" s="32" t="str">
        <f aca="false">IF(OR(H15="",F15=0),"",H15/F15)</f>
        <v/>
      </c>
      <c r="M15" s="33"/>
    </row>
    <row r="16" customFormat="false" ht="18" hidden="false" customHeight="true" outlineLevel="0" collapsed="false">
      <c r="A16" s="44" t="n">
        <v>8</v>
      </c>
      <c r="B16" s="45" t="n">
        <v>46122</v>
      </c>
      <c r="C16" s="46" t="s">
        <v>43</v>
      </c>
      <c r="D16" s="47" t="s">
        <v>134</v>
      </c>
      <c r="E16" s="48" t="n">
        <v>4</v>
      </c>
      <c r="F16" s="26" t="n">
        <f aca="false">'Norms &amp; Assumptions'!B33*E16</f>
        <v>600</v>
      </c>
      <c r="G16" s="27" t="n">
        <f aca="false">'Norms &amp; Assumptions'!B35*E16</f>
        <v>0.72</v>
      </c>
      <c r="H16" s="28"/>
      <c r="I16" s="29"/>
      <c r="J16" s="30" t="str">
        <f aca="false">IF(H16="","",H16-F16)</f>
        <v/>
      </c>
      <c r="K16" s="31" t="str">
        <f aca="false">IF(I16="","",I16-G16)</f>
        <v/>
      </c>
      <c r="L16" s="32" t="str">
        <f aca="false">IF(OR(H16="",F16=0),"",H16/F16)</f>
        <v/>
      </c>
      <c r="M16" s="33"/>
    </row>
    <row r="17" customFormat="false" ht="18" hidden="false" customHeight="true" outlineLevel="0" collapsed="false">
      <c r="A17" s="39"/>
      <c r="B17" s="40" t="n">
        <v>46123</v>
      </c>
      <c r="C17" s="41" t="s">
        <v>41</v>
      </c>
      <c r="D17" s="42" t="s">
        <v>129</v>
      </c>
      <c r="E17" s="43" t="n">
        <v>0</v>
      </c>
      <c r="F17" s="39" t="n">
        <v>0</v>
      </c>
      <c r="G17" s="39" t="n">
        <v>0</v>
      </c>
      <c r="H17" s="39"/>
      <c r="I17" s="39"/>
      <c r="J17" s="39"/>
      <c r="K17" s="39"/>
      <c r="L17" s="39"/>
      <c r="M17" s="39"/>
    </row>
    <row r="18" customFormat="false" ht="18" hidden="false" customHeight="true" outlineLevel="0" collapsed="false">
      <c r="A18" s="39"/>
      <c r="B18" s="40" t="n">
        <v>46124</v>
      </c>
      <c r="C18" s="41" t="s">
        <v>52</v>
      </c>
      <c r="D18" s="42" t="s">
        <v>129</v>
      </c>
      <c r="E18" s="43" t="n">
        <v>0</v>
      </c>
      <c r="F18" s="39" t="n">
        <v>0</v>
      </c>
      <c r="G18" s="39" t="n">
        <v>0</v>
      </c>
      <c r="H18" s="39"/>
      <c r="I18" s="39"/>
      <c r="J18" s="39"/>
      <c r="K18" s="39"/>
      <c r="L18" s="39"/>
      <c r="M18" s="39"/>
    </row>
    <row r="19" customFormat="false" ht="18" hidden="false" customHeight="true" outlineLevel="0" collapsed="false">
      <c r="A19" s="44" t="n">
        <v>9</v>
      </c>
      <c r="B19" s="45" t="n">
        <v>46125</v>
      </c>
      <c r="C19" s="46" t="s">
        <v>46</v>
      </c>
      <c r="D19" s="47" t="s">
        <v>135</v>
      </c>
      <c r="E19" s="48" t="n">
        <v>4</v>
      </c>
      <c r="F19" s="26" t="n">
        <f aca="false">'Norms &amp; Assumptions'!B33*E19</f>
        <v>600</v>
      </c>
      <c r="G19" s="27" t="n">
        <f aca="false">'Norms &amp; Assumptions'!B35*E19</f>
        <v>0.72</v>
      </c>
      <c r="H19" s="28"/>
      <c r="I19" s="29"/>
      <c r="J19" s="30" t="str">
        <f aca="false">IF(H19="","",H19-F19)</f>
        <v/>
      </c>
      <c r="K19" s="31" t="str">
        <f aca="false">IF(I19="","",I19-G19)</f>
        <v/>
      </c>
      <c r="L19" s="32" t="str">
        <f aca="false">IF(OR(H19="",F19=0),"",H19/F19)</f>
        <v/>
      </c>
      <c r="M19" s="33"/>
    </row>
    <row r="20" customFormat="false" ht="18" hidden="false" customHeight="true" outlineLevel="0" collapsed="false">
      <c r="A20" s="44" t="n">
        <v>10</v>
      </c>
      <c r="B20" s="45" t="n">
        <v>46126</v>
      </c>
      <c r="C20" s="46" t="s">
        <v>50</v>
      </c>
      <c r="D20" s="47" t="s">
        <v>136</v>
      </c>
      <c r="E20" s="48" t="n">
        <v>4</v>
      </c>
      <c r="F20" s="26" t="n">
        <f aca="false">'Norms &amp; Assumptions'!B33*E20</f>
        <v>600</v>
      </c>
      <c r="G20" s="27" t="n">
        <f aca="false">'Norms &amp; Assumptions'!B35*E20</f>
        <v>0.72</v>
      </c>
      <c r="H20" s="28"/>
      <c r="I20" s="29"/>
      <c r="J20" s="30" t="str">
        <f aca="false">IF(H20="","",H20-F20)</f>
        <v/>
      </c>
      <c r="K20" s="31" t="str">
        <f aca="false">IF(I20="","",I20-G20)</f>
        <v/>
      </c>
      <c r="L20" s="32" t="str">
        <f aca="false">IF(OR(H20="",F20=0),"",H20/F20)</f>
        <v/>
      </c>
      <c r="M20" s="33"/>
    </row>
    <row r="21" customFormat="false" ht="18" hidden="false" customHeight="true" outlineLevel="0" collapsed="false">
      <c r="A21" s="44" t="n">
        <v>11</v>
      </c>
      <c r="B21" s="45" t="n">
        <v>46127</v>
      </c>
      <c r="C21" s="46" t="s">
        <v>55</v>
      </c>
      <c r="D21" s="47" t="s">
        <v>137</v>
      </c>
      <c r="E21" s="48" t="n">
        <v>4</v>
      </c>
      <c r="F21" s="26" t="n">
        <f aca="false">'Norms &amp; Assumptions'!B33*E21</f>
        <v>600</v>
      </c>
      <c r="G21" s="27" t="n">
        <f aca="false">'Norms &amp; Assumptions'!B35*E21</f>
        <v>0.72</v>
      </c>
      <c r="H21" s="28"/>
      <c r="I21" s="29"/>
      <c r="J21" s="30" t="str">
        <f aca="false">IF(H21="","",H21-F21)</f>
        <v/>
      </c>
      <c r="K21" s="31" t="str">
        <f aca="false">IF(I21="","",I21-G21)</f>
        <v/>
      </c>
      <c r="L21" s="32" t="str">
        <f aca="false">IF(OR(H21="",F21=0),"",H21/F21)</f>
        <v/>
      </c>
      <c r="M21" s="33"/>
    </row>
    <row r="22" customFormat="false" ht="18" hidden="false" customHeight="true" outlineLevel="0" collapsed="false">
      <c r="A22" s="44" t="n">
        <v>12</v>
      </c>
      <c r="B22" s="45" t="n">
        <v>46128</v>
      </c>
      <c r="C22" s="46" t="s">
        <v>38</v>
      </c>
      <c r="D22" s="47" t="s">
        <v>138</v>
      </c>
      <c r="E22" s="48" t="n">
        <v>4</v>
      </c>
      <c r="F22" s="26" t="n">
        <f aca="false">'Norms &amp; Assumptions'!B33*E22</f>
        <v>600</v>
      </c>
      <c r="G22" s="27" t="n">
        <f aca="false">'Norms &amp; Assumptions'!B35*E22</f>
        <v>0.72</v>
      </c>
      <c r="H22" s="28"/>
      <c r="I22" s="29"/>
      <c r="J22" s="30" t="str">
        <f aca="false">IF(H22="","",H22-F22)</f>
        <v/>
      </c>
      <c r="K22" s="31" t="str">
        <f aca="false">IF(I22="","",I22-G22)</f>
        <v/>
      </c>
      <c r="L22" s="32" t="str">
        <f aca="false">IF(OR(H22="",F22=0),"",H22/F22)</f>
        <v/>
      </c>
      <c r="M22" s="33"/>
    </row>
    <row r="23" customFormat="false" ht="18" hidden="false" customHeight="true" outlineLevel="0" collapsed="false">
      <c r="A23" s="44" t="n">
        <v>13</v>
      </c>
      <c r="B23" s="45" t="n">
        <v>46129</v>
      </c>
      <c r="C23" s="46" t="s">
        <v>43</v>
      </c>
      <c r="D23" s="47" t="s">
        <v>139</v>
      </c>
      <c r="E23" s="48" t="n">
        <v>4</v>
      </c>
      <c r="F23" s="26" t="n">
        <f aca="false">'Norms &amp; Assumptions'!B33*E23</f>
        <v>600</v>
      </c>
      <c r="G23" s="27" t="n">
        <f aca="false">'Norms &amp; Assumptions'!B35*E23</f>
        <v>0.72</v>
      </c>
      <c r="H23" s="28"/>
      <c r="I23" s="29"/>
      <c r="J23" s="30" t="str">
        <f aca="false">IF(H23="","",H23-F23)</f>
        <v/>
      </c>
      <c r="K23" s="31" t="str">
        <f aca="false">IF(I23="","",I23-G23)</f>
        <v/>
      </c>
      <c r="L23" s="32" t="str">
        <f aca="false">IF(OR(H23="",F23=0),"",H23/F23)</f>
        <v/>
      </c>
      <c r="M23" s="33"/>
    </row>
    <row r="24" customFormat="false" ht="18" hidden="false" customHeight="true" outlineLevel="0" collapsed="false">
      <c r="A24" s="39"/>
      <c r="B24" s="40" t="n">
        <v>46130</v>
      </c>
      <c r="C24" s="41" t="s">
        <v>41</v>
      </c>
      <c r="D24" s="42" t="s">
        <v>129</v>
      </c>
      <c r="E24" s="43" t="n">
        <v>0</v>
      </c>
      <c r="F24" s="39" t="n">
        <v>0</v>
      </c>
      <c r="G24" s="39" t="n">
        <v>0</v>
      </c>
      <c r="H24" s="39"/>
      <c r="I24" s="39"/>
      <c r="J24" s="39"/>
      <c r="K24" s="39"/>
      <c r="L24" s="39"/>
      <c r="M24" s="39"/>
    </row>
    <row r="25" customFormat="false" ht="18" hidden="false" customHeight="true" outlineLevel="0" collapsed="false">
      <c r="A25" s="39"/>
      <c r="B25" s="40" t="n">
        <v>46131</v>
      </c>
      <c r="C25" s="41" t="s">
        <v>52</v>
      </c>
      <c r="D25" s="42" t="s">
        <v>129</v>
      </c>
      <c r="E25" s="43" t="n">
        <v>0</v>
      </c>
      <c r="F25" s="39" t="n">
        <v>0</v>
      </c>
      <c r="G25" s="39" t="n">
        <v>0</v>
      </c>
      <c r="H25" s="39"/>
      <c r="I25" s="39"/>
      <c r="J25" s="39"/>
      <c r="K25" s="39"/>
      <c r="L25" s="39"/>
      <c r="M25" s="39"/>
    </row>
    <row r="26" customFormat="false" ht="18" hidden="false" customHeight="true" outlineLevel="0" collapsed="false">
      <c r="A26" s="44" t="n">
        <v>14</v>
      </c>
      <c r="B26" s="45" t="n">
        <v>46132</v>
      </c>
      <c r="C26" s="46" t="s">
        <v>46</v>
      </c>
      <c r="D26" s="47" t="s">
        <v>140</v>
      </c>
      <c r="E26" s="48" t="n">
        <v>4</v>
      </c>
      <c r="F26" s="26" t="n">
        <f aca="false">'Norms &amp; Assumptions'!B33*E26</f>
        <v>600</v>
      </c>
      <c r="G26" s="27" t="n">
        <f aca="false">'Norms &amp; Assumptions'!B35*E26</f>
        <v>0.72</v>
      </c>
      <c r="H26" s="28"/>
      <c r="I26" s="29"/>
      <c r="J26" s="30" t="str">
        <f aca="false">IF(H26="","",H26-F26)</f>
        <v/>
      </c>
      <c r="K26" s="31" t="str">
        <f aca="false">IF(I26="","",I26-G26)</f>
        <v/>
      </c>
      <c r="L26" s="32" t="str">
        <f aca="false">IF(OR(H26="",F26=0),"",H26/F26)</f>
        <v/>
      </c>
      <c r="M26" s="33"/>
    </row>
    <row r="27" customFormat="false" ht="18" hidden="false" customHeight="true" outlineLevel="0" collapsed="false">
      <c r="A27" s="44" t="n">
        <v>15</v>
      </c>
      <c r="B27" s="45" t="n">
        <v>46133</v>
      </c>
      <c r="C27" s="46" t="s">
        <v>50</v>
      </c>
      <c r="D27" s="47" t="s">
        <v>141</v>
      </c>
      <c r="E27" s="48" t="n">
        <v>4</v>
      </c>
      <c r="F27" s="26" t="n">
        <f aca="false">'Norms &amp; Assumptions'!B33*E27</f>
        <v>600</v>
      </c>
      <c r="G27" s="27" t="n">
        <f aca="false">'Norms &amp; Assumptions'!B35*E27</f>
        <v>0.72</v>
      </c>
      <c r="H27" s="28"/>
      <c r="I27" s="29"/>
      <c r="J27" s="30" t="str">
        <f aca="false">IF(H27="","",H27-F27)</f>
        <v/>
      </c>
      <c r="K27" s="31" t="str">
        <f aca="false">IF(I27="","",I27-G27)</f>
        <v/>
      </c>
      <c r="L27" s="32" t="str">
        <f aca="false">IF(OR(H27="",F27=0),"",H27/F27)</f>
        <v/>
      </c>
      <c r="M27" s="33"/>
    </row>
    <row r="28" customFormat="false" ht="18" hidden="false" customHeight="true" outlineLevel="0" collapsed="false">
      <c r="A28" s="44" t="n">
        <v>16</v>
      </c>
      <c r="B28" s="45" t="n">
        <v>46134</v>
      </c>
      <c r="C28" s="46" t="s">
        <v>55</v>
      </c>
      <c r="D28" s="47" t="s">
        <v>142</v>
      </c>
      <c r="E28" s="48" t="n">
        <v>4</v>
      </c>
      <c r="F28" s="26" t="n">
        <f aca="false">'Norms &amp; Assumptions'!B33*E28</f>
        <v>600</v>
      </c>
      <c r="G28" s="27" t="n">
        <f aca="false">'Norms &amp; Assumptions'!B35*E28</f>
        <v>0.72</v>
      </c>
      <c r="H28" s="28"/>
      <c r="I28" s="29"/>
      <c r="J28" s="30" t="str">
        <f aca="false">IF(H28="","",H28-F28)</f>
        <v/>
      </c>
      <c r="K28" s="31" t="str">
        <f aca="false">IF(I28="","",I28-G28)</f>
        <v/>
      </c>
      <c r="L28" s="32" t="str">
        <f aca="false">IF(OR(H28="",F28=0),"",H28/F28)</f>
        <v/>
      </c>
      <c r="M28" s="33"/>
    </row>
    <row r="29" customFormat="false" ht="18" hidden="false" customHeight="true" outlineLevel="0" collapsed="false">
      <c r="A29" s="44" t="n">
        <v>17</v>
      </c>
      <c r="B29" s="45" t="n">
        <v>46135</v>
      </c>
      <c r="C29" s="46" t="s">
        <v>38</v>
      </c>
      <c r="D29" s="47" t="s">
        <v>143</v>
      </c>
      <c r="E29" s="48" t="n">
        <v>4</v>
      </c>
      <c r="F29" s="26" t="n">
        <f aca="false">'Norms &amp; Assumptions'!B33*E29</f>
        <v>600</v>
      </c>
      <c r="G29" s="27" t="n">
        <f aca="false">'Norms &amp; Assumptions'!B35*E29</f>
        <v>0.72</v>
      </c>
      <c r="H29" s="28"/>
      <c r="I29" s="29"/>
      <c r="J29" s="30" t="str">
        <f aca="false">IF(H29="","",H29-F29)</f>
        <v/>
      </c>
      <c r="K29" s="31" t="str">
        <f aca="false">IF(I29="","",I29-G29)</f>
        <v/>
      </c>
      <c r="L29" s="32" t="str">
        <f aca="false">IF(OR(H29="",F29=0),"",H29/F29)</f>
        <v/>
      </c>
      <c r="M29" s="33"/>
    </row>
    <row r="30" customFormat="false" ht="18" hidden="false" customHeight="true" outlineLevel="0" collapsed="false">
      <c r="A30" s="44" t="n">
        <v>18</v>
      </c>
      <c r="B30" s="45" t="n">
        <v>46136</v>
      </c>
      <c r="C30" s="46" t="s">
        <v>43</v>
      </c>
      <c r="D30" s="47" t="s">
        <v>144</v>
      </c>
      <c r="E30" s="48" t="n">
        <v>4</v>
      </c>
      <c r="F30" s="26" t="n">
        <f aca="false">'Norms &amp; Assumptions'!B33*E30</f>
        <v>600</v>
      </c>
      <c r="G30" s="27" t="n">
        <f aca="false">'Norms &amp; Assumptions'!B35*E30</f>
        <v>0.72</v>
      </c>
      <c r="H30" s="28"/>
      <c r="I30" s="29"/>
      <c r="J30" s="30" t="str">
        <f aca="false">IF(H30="","",H30-F30)</f>
        <v/>
      </c>
      <c r="K30" s="31" t="str">
        <f aca="false">IF(I30="","",I30-G30)</f>
        <v/>
      </c>
      <c r="L30" s="32" t="str">
        <f aca="false">IF(OR(H30="",F30=0),"",H30/F30)</f>
        <v/>
      </c>
      <c r="M30" s="33"/>
    </row>
    <row r="31" customFormat="false" ht="18" hidden="false" customHeight="true" outlineLevel="0" collapsed="false">
      <c r="A31" s="39"/>
      <c r="B31" s="40" t="n">
        <v>46137</v>
      </c>
      <c r="C31" s="41" t="s">
        <v>41</v>
      </c>
      <c r="D31" s="42" t="s">
        <v>129</v>
      </c>
      <c r="E31" s="43" t="n">
        <v>0</v>
      </c>
      <c r="F31" s="39" t="n">
        <v>0</v>
      </c>
      <c r="G31" s="39" t="n">
        <v>0</v>
      </c>
      <c r="H31" s="39"/>
      <c r="I31" s="39"/>
      <c r="J31" s="39"/>
      <c r="K31" s="39"/>
      <c r="L31" s="39"/>
      <c r="M31" s="39"/>
    </row>
    <row r="32" customFormat="false" ht="18" hidden="false" customHeight="true" outlineLevel="0" collapsed="false">
      <c r="A32" s="39"/>
      <c r="B32" s="40" t="n">
        <v>46138</v>
      </c>
      <c r="C32" s="41" t="s">
        <v>52</v>
      </c>
      <c r="D32" s="42" t="s">
        <v>129</v>
      </c>
      <c r="E32" s="43" t="n">
        <v>0</v>
      </c>
      <c r="F32" s="39" t="n">
        <v>0</v>
      </c>
      <c r="G32" s="39" t="n">
        <v>0</v>
      </c>
      <c r="H32" s="39"/>
      <c r="I32" s="39"/>
      <c r="J32" s="39"/>
      <c r="K32" s="39"/>
      <c r="L32" s="39"/>
      <c r="M32" s="39"/>
    </row>
    <row r="33" customFormat="false" ht="18" hidden="false" customHeight="true" outlineLevel="0" collapsed="false">
      <c r="A33" s="34"/>
      <c r="B33" s="35" t="n">
        <v>46139</v>
      </c>
      <c r="C33" s="36" t="s">
        <v>46</v>
      </c>
      <c r="D33" s="37" t="s">
        <v>145</v>
      </c>
      <c r="E33" s="38" t="n">
        <v>0</v>
      </c>
      <c r="F33" s="34" t="n">
        <v>0</v>
      </c>
      <c r="G33" s="34" t="n">
        <v>0</v>
      </c>
      <c r="H33" s="34"/>
      <c r="I33" s="34"/>
      <c r="J33" s="34"/>
      <c r="K33" s="34"/>
      <c r="L33" s="34"/>
      <c r="M33" s="34"/>
    </row>
    <row r="34" customFormat="false" ht="18" hidden="false" customHeight="true" outlineLevel="0" collapsed="false">
      <c r="A34" s="44" t="n">
        <v>19</v>
      </c>
      <c r="B34" s="45" t="n">
        <v>46140</v>
      </c>
      <c r="C34" s="46" t="s">
        <v>50</v>
      </c>
      <c r="D34" s="47" t="s">
        <v>146</v>
      </c>
      <c r="E34" s="48" t="n">
        <v>4</v>
      </c>
      <c r="F34" s="26" t="n">
        <f aca="false">'Norms &amp; Assumptions'!B33*E34</f>
        <v>600</v>
      </c>
      <c r="G34" s="27" t="n">
        <f aca="false">'Norms &amp; Assumptions'!B35*E34</f>
        <v>0.72</v>
      </c>
      <c r="H34" s="28"/>
      <c r="I34" s="29"/>
      <c r="J34" s="30" t="str">
        <f aca="false">IF(H34="","",H34-F34)</f>
        <v/>
      </c>
      <c r="K34" s="31" t="str">
        <f aca="false">IF(I34="","",I34-G34)</f>
        <v/>
      </c>
      <c r="L34" s="32" t="str">
        <f aca="false">IF(OR(H34="",F34=0),"",H34/F34)</f>
        <v/>
      </c>
      <c r="M34" s="33"/>
    </row>
    <row r="35" customFormat="false" ht="18" hidden="false" customHeight="true" outlineLevel="0" collapsed="false">
      <c r="A35" s="44" t="n">
        <v>20</v>
      </c>
      <c r="B35" s="45" t="n">
        <v>46141</v>
      </c>
      <c r="C35" s="46" t="s">
        <v>55</v>
      </c>
      <c r="D35" s="47" t="s">
        <v>147</v>
      </c>
      <c r="E35" s="48" t="n">
        <v>4</v>
      </c>
      <c r="F35" s="26" t="n">
        <f aca="false">'Norms &amp; Assumptions'!B33*E35</f>
        <v>600</v>
      </c>
      <c r="G35" s="27" t="n">
        <f aca="false">'Norms &amp; Assumptions'!B35*E35</f>
        <v>0.72</v>
      </c>
      <c r="H35" s="28"/>
      <c r="I35" s="29"/>
      <c r="J35" s="30" t="str">
        <f aca="false">IF(H35="","",H35-F35)</f>
        <v/>
      </c>
      <c r="K35" s="31" t="str">
        <f aca="false">IF(I35="","",I35-G35)</f>
        <v/>
      </c>
      <c r="L35" s="32" t="str">
        <f aca="false">IF(OR(H35="",F35=0),"",H35/F35)</f>
        <v/>
      </c>
      <c r="M35" s="33"/>
    </row>
    <row r="36" customFormat="false" ht="18" hidden="false" customHeight="true" outlineLevel="0" collapsed="false">
      <c r="A36" s="44" t="n">
        <v>21</v>
      </c>
      <c r="B36" s="45" t="n">
        <v>46142</v>
      </c>
      <c r="C36" s="46" t="s">
        <v>38</v>
      </c>
      <c r="D36" s="47" t="s">
        <v>148</v>
      </c>
      <c r="E36" s="48" t="n">
        <v>4</v>
      </c>
      <c r="F36" s="26" t="n">
        <f aca="false">'Norms &amp; Assumptions'!B33*E36</f>
        <v>600</v>
      </c>
      <c r="G36" s="27" t="n">
        <f aca="false">'Norms &amp; Assumptions'!B35*E36</f>
        <v>0.72</v>
      </c>
      <c r="H36" s="28"/>
      <c r="I36" s="29"/>
      <c r="J36" s="30" t="str">
        <f aca="false">IF(H36="","",H36-F36)</f>
        <v/>
      </c>
      <c r="K36" s="31" t="str">
        <f aca="false">IF(I36="","",I36-G36)</f>
        <v/>
      </c>
      <c r="L36" s="32" t="str">
        <f aca="false">IF(OR(H36="",F36=0),"",H36/F36)</f>
        <v/>
      </c>
      <c r="M36" s="33"/>
    </row>
    <row r="37" customFormat="false" ht="18" hidden="false" customHeight="true" outlineLevel="0" collapsed="false">
      <c r="A37" s="34"/>
      <c r="B37" s="35" t="n">
        <v>46143</v>
      </c>
      <c r="C37" s="36" t="s">
        <v>43</v>
      </c>
      <c r="D37" s="37" t="s">
        <v>149</v>
      </c>
      <c r="E37" s="38" t="n">
        <v>0</v>
      </c>
      <c r="F37" s="34" t="n">
        <v>0</v>
      </c>
      <c r="G37" s="34" t="n">
        <v>0</v>
      </c>
      <c r="H37" s="34"/>
      <c r="I37" s="34"/>
      <c r="J37" s="34"/>
      <c r="K37" s="34"/>
      <c r="L37" s="34"/>
      <c r="M37" s="34"/>
    </row>
    <row r="38" customFormat="false" ht="18" hidden="false" customHeight="true" outlineLevel="0" collapsed="false">
      <c r="A38" s="39"/>
      <c r="B38" s="40" t="n">
        <v>46144</v>
      </c>
      <c r="C38" s="41" t="s">
        <v>41</v>
      </c>
      <c r="D38" s="42" t="s">
        <v>129</v>
      </c>
      <c r="E38" s="43" t="n">
        <v>0</v>
      </c>
      <c r="F38" s="39" t="n">
        <v>0</v>
      </c>
      <c r="G38" s="39" t="n">
        <v>0</v>
      </c>
      <c r="H38" s="39"/>
      <c r="I38" s="39"/>
      <c r="J38" s="39"/>
      <c r="K38" s="39"/>
      <c r="L38" s="39"/>
      <c r="M38" s="39"/>
    </row>
    <row r="39" customFormat="false" ht="18" hidden="false" customHeight="true" outlineLevel="0" collapsed="false">
      <c r="A39" s="39"/>
      <c r="B39" s="40" t="n">
        <v>46145</v>
      </c>
      <c r="C39" s="41" t="s">
        <v>52</v>
      </c>
      <c r="D39" s="42" t="s">
        <v>129</v>
      </c>
      <c r="E39" s="43" t="n">
        <v>0</v>
      </c>
      <c r="F39" s="39" t="n">
        <v>0</v>
      </c>
      <c r="G39" s="39" t="n">
        <v>0</v>
      </c>
      <c r="H39" s="39"/>
      <c r="I39" s="39"/>
      <c r="J39" s="39"/>
      <c r="K39" s="39"/>
      <c r="L39" s="39"/>
      <c r="M39" s="39"/>
    </row>
    <row r="40" customFormat="false" ht="18" hidden="false" customHeight="true" outlineLevel="0" collapsed="false">
      <c r="A40" s="44" t="n">
        <v>22</v>
      </c>
      <c r="B40" s="45" t="n">
        <v>46146</v>
      </c>
      <c r="C40" s="46" t="s">
        <v>46</v>
      </c>
      <c r="D40" s="47" t="s">
        <v>150</v>
      </c>
      <c r="E40" s="48" t="n">
        <v>4</v>
      </c>
      <c r="F40" s="26" t="n">
        <f aca="false">'Norms &amp; Assumptions'!B33*E40</f>
        <v>600</v>
      </c>
      <c r="G40" s="27" t="n">
        <f aca="false">'Norms &amp; Assumptions'!B35*E40</f>
        <v>0.72</v>
      </c>
      <c r="H40" s="28"/>
      <c r="I40" s="29"/>
      <c r="J40" s="30" t="str">
        <f aca="false">IF(H40="","",H40-F40)</f>
        <v/>
      </c>
      <c r="K40" s="31" t="str">
        <f aca="false">IF(I40="","",I40-G40)</f>
        <v/>
      </c>
      <c r="L40" s="32" t="str">
        <f aca="false">IF(OR(H40="",F40=0),"",H40/F40)</f>
        <v/>
      </c>
      <c r="M40" s="33"/>
    </row>
    <row r="41" customFormat="false" ht="18" hidden="false" customHeight="true" outlineLevel="0" collapsed="false">
      <c r="A41" s="44" t="n">
        <v>23</v>
      </c>
      <c r="B41" s="45" t="n">
        <v>46147</v>
      </c>
      <c r="C41" s="46" t="s">
        <v>50</v>
      </c>
      <c r="D41" s="47" t="s">
        <v>151</v>
      </c>
      <c r="E41" s="48" t="n">
        <v>4</v>
      </c>
      <c r="F41" s="26" t="n">
        <f aca="false">'Norms &amp; Assumptions'!B33*E41</f>
        <v>600</v>
      </c>
      <c r="G41" s="27" t="n">
        <f aca="false">'Norms &amp; Assumptions'!B35*E41</f>
        <v>0.72</v>
      </c>
      <c r="H41" s="28"/>
      <c r="I41" s="29"/>
      <c r="J41" s="30" t="str">
        <f aca="false">IF(H41="","",H41-F41)</f>
        <v/>
      </c>
      <c r="K41" s="31" t="str">
        <f aca="false">IF(I41="","",I41-G41)</f>
        <v/>
      </c>
      <c r="L41" s="32" t="str">
        <f aca="false">IF(OR(H41="",F41=0),"",H41/F41)</f>
        <v/>
      </c>
      <c r="M41" s="33"/>
    </row>
    <row r="42" customFormat="false" ht="18" hidden="false" customHeight="true" outlineLevel="0" collapsed="false">
      <c r="A42" s="44" t="n">
        <v>24</v>
      </c>
      <c r="B42" s="45" t="n">
        <v>46148</v>
      </c>
      <c r="C42" s="46" t="s">
        <v>55</v>
      </c>
      <c r="D42" s="47" t="s">
        <v>152</v>
      </c>
      <c r="E42" s="48" t="n">
        <v>4</v>
      </c>
      <c r="F42" s="26" t="n">
        <f aca="false">'Norms &amp; Assumptions'!B33*E42</f>
        <v>600</v>
      </c>
      <c r="G42" s="27" t="n">
        <f aca="false">'Norms &amp; Assumptions'!B35*E42</f>
        <v>0.72</v>
      </c>
      <c r="H42" s="28"/>
      <c r="I42" s="29"/>
      <c r="J42" s="30" t="str">
        <f aca="false">IF(H42="","",H42-F42)</f>
        <v/>
      </c>
      <c r="K42" s="31" t="str">
        <f aca="false">IF(I42="","",I42-G42)</f>
        <v/>
      </c>
      <c r="L42" s="32" t="str">
        <f aca="false">IF(OR(H42="",F42=0),"",H42/F42)</f>
        <v/>
      </c>
      <c r="M42" s="33"/>
    </row>
    <row r="43" customFormat="false" ht="18" hidden="false" customHeight="true" outlineLevel="0" collapsed="false">
      <c r="A43" s="44" t="n">
        <v>25</v>
      </c>
      <c r="B43" s="45" t="n">
        <v>46149</v>
      </c>
      <c r="C43" s="46" t="s">
        <v>38</v>
      </c>
      <c r="D43" s="47" t="s">
        <v>153</v>
      </c>
      <c r="E43" s="48" t="n">
        <v>4</v>
      </c>
      <c r="F43" s="26" t="n">
        <f aca="false">'Norms &amp; Assumptions'!B33*E43</f>
        <v>600</v>
      </c>
      <c r="G43" s="27" t="n">
        <f aca="false">'Norms &amp; Assumptions'!B35*E43</f>
        <v>0.72</v>
      </c>
      <c r="H43" s="28"/>
      <c r="I43" s="29"/>
      <c r="J43" s="30" t="str">
        <f aca="false">IF(H43="","",H43-F43)</f>
        <v/>
      </c>
      <c r="K43" s="31" t="str">
        <f aca="false">IF(I43="","",I43-G43)</f>
        <v/>
      </c>
      <c r="L43" s="32" t="str">
        <f aca="false">IF(OR(H43="",F43=0),"",H43/F43)</f>
        <v/>
      </c>
      <c r="M43" s="33"/>
    </row>
    <row r="44" customFormat="false" ht="18" hidden="false" customHeight="true" outlineLevel="0" collapsed="false">
      <c r="A44" s="44" t="n">
        <v>26</v>
      </c>
      <c r="B44" s="45" t="n">
        <v>46150</v>
      </c>
      <c r="C44" s="46" t="s">
        <v>43</v>
      </c>
      <c r="D44" s="47" t="s">
        <v>154</v>
      </c>
      <c r="E44" s="48" t="n">
        <v>4</v>
      </c>
      <c r="F44" s="26" t="n">
        <f aca="false">'Norms &amp; Assumptions'!B33*E44</f>
        <v>600</v>
      </c>
      <c r="G44" s="27" t="n">
        <f aca="false">'Norms &amp; Assumptions'!B35*E44</f>
        <v>0.72</v>
      </c>
      <c r="H44" s="28"/>
      <c r="I44" s="29"/>
      <c r="J44" s="30" t="str">
        <f aca="false">IF(H44="","",H44-F44)</f>
        <v/>
      </c>
      <c r="K44" s="31" t="str">
        <f aca="false">IF(I44="","",I44-G44)</f>
        <v/>
      </c>
      <c r="L44" s="32" t="str">
        <f aca="false">IF(OR(H44="",F44=0),"",H44/F44)</f>
        <v/>
      </c>
      <c r="M44" s="33"/>
    </row>
    <row r="45" customFormat="false" ht="18" hidden="false" customHeight="true" outlineLevel="0" collapsed="false">
      <c r="A45" s="39"/>
      <c r="B45" s="40" t="n">
        <v>46151</v>
      </c>
      <c r="C45" s="41" t="s">
        <v>41</v>
      </c>
      <c r="D45" s="42" t="s">
        <v>129</v>
      </c>
      <c r="E45" s="43" t="n">
        <v>0</v>
      </c>
      <c r="F45" s="39" t="n">
        <v>0</v>
      </c>
      <c r="G45" s="39" t="n">
        <v>0</v>
      </c>
      <c r="H45" s="39"/>
      <c r="I45" s="39"/>
      <c r="J45" s="39"/>
      <c r="K45" s="39"/>
      <c r="L45" s="39"/>
      <c r="M45" s="39"/>
    </row>
    <row r="46" customFormat="false" ht="18" hidden="false" customHeight="true" outlineLevel="0" collapsed="false">
      <c r="A46" s="39"/>
      <c r="B46" s="40" t="n">
        <v>46152</v>
      </c>
      <c r="C46" s="41" t="s">
        <v>52</v>
      </c>
      <c r="D46" s="42" t="s">
        <v>129</v>
      </c>
      <c r="E46" s="43" t="n">
        <v>0</v>
      </c>
      <c r="F46" s="39" t="n">
        <v>0</v>
      </c>
      <c r="G46" s="39" t="n">
        <v>0</v>
      </c>
      <c r="H46" s="39"/>
      <c r="I46" s="39"/>
      <c r="J46" s="39"/>
      <c r="K46" s="39"/>
      <c r="L46" s="39"/>
      <c r="M46" s="39"/>
    </row>
    <row r="47" customFormat="false" ht="18" hidden="false" customHeight="true" outlineLevel="0" collapsed="false">
      <c r="A47" s="44" t="n">
        <v>27</v>
      </c>
      <c r="B47" s="45" t="n">
        <v>46153</v>
      </c>
      <c r="C47" s="46" t="s">
        <v>46</v>
      </c>
      <c r="D47" s="47" t="s">
        <v>155</v>
      </c>
      <c r="E47" s="48" t="n">
        <v>4</v>
      </c>
      <c r="F47" s="26" t="n">
        <f aca="false">'Norms &amp; Assumptions'!B33*E47</f>
        <v>600</v>
      </c>
      <c r="G47" s="27" t="n">
        <f aca="false">'Norms &amp; Assumptions'!B35*E47</f>
        <v>0.72</v>
      </c>
      <c r="H47" s="28"/>
      <c r="I47" s="29"/>
      <c r="J47" s="30" t="str">
        <f aca="false">IF(H47="","",H47-F47)</f>
        <v/>
      </c>
      <c r="K47" s="31" t="str">
        <f aca="false">IF(I47="","",I47-G47)</f>
        <v/>
      </c>
      <c r="L47" s="32" t="str">
        <f aca="false">IF(OR(H47="",F47=0),"",H47/F47)</f>
        <v/>
      </c>
      <c r="M47" s="33"/>
    </row>
    <row r="48" customFormat="false" ht="18" hidden="false" customHeight="true" outlineLevel="0" collapsed="false">
      <c r="A48" s="44" t="n">
        <v>28</v>
      </c>
      <c r="B48" s="45" t="n">
        <v>46154</v>
      </c>
      <c r="C48" s="46" t="s">
        <v>50</v>
      </c>
      <c r="D48" s="47" t="s">
        <v>156</v>
      </c>
      <c r="E48" s="48" t="n">
        <v>4</v>
      </c>
      <c r="F48" s="26" t="n">
        <f aca="false">'Norms &amp; Assumptions'!B33*E48</f>
        <v>600</v>
      </c>
      <c r="G48" s="27" t="n">
        <f aca="false">'Norms &amp; Assumptions'!B35*E48</f>
        <v>0.72</v>
      </c>
      <c r="H48" s="28"/>
      <c r="I48" s="29"/>
      <c r="J48" s="30" t="str">
        <f aca="false">IF(H48="","",H48-F48)</f>
        <v/>
      </c>
      <c r="K48" s="31" t="str">
        <f aca="false">IF(I48="","",I48-G48)</f>
        <v/>
      </c>
      <c r="L48" s="32" t="str">
        <f aca="false">IF(OR(H48="",F48=0),"",H48/F48)</f>
        <v/>
      </c>
      <c r="M48" s="33"/>
    </row>
    <row r="49" customFormat="false" ht="18" hidden="false" customHeight="true" outlineLevel="0" collapsed="false">
      <c r="A49" s="44" t="n">
        <v>29</v>
      </c>
      <c r="B49" s="45" t="n">
        <v>46155</v>
      </c>
      <c r="C49" s="46" t="s">
        <v>55</v>
      </c>
      <c r="D49" s="47" t="s">
        <v>157</v>
      </c>
      <c r="E49" s="48" t="n">
        <v>4</v>
      </c>
      <c r="F49" s="26" t="n">
        <f aca="false">'Norms &amp; Assumptions'!B33*E49</f>
        <v>600</v>
      </c>
      <c r="G49" s="27" t="n">
        <f aca="false">'Norms &amp; Assumptions'!B35*E49</f>
        <v>0.72</v>
      </c>
      <c r="H49" s="28"/>
      <c r="I49" s="29"/>
      <c r="J49" s="30" t="str">
        <f aca="false">IF(H49="","",H49-F49)</f>
        <v/>
      </c>
      <c r="K49" s="31" t="str">
        <f aca="false">IF(I49="","",I49-G49)</f>
        <v/>
      </c>
      <c r="L49" s="32" t="str">
        <f aca="false">IF(OR(H49="",F49=0),"",H49/F49)</f>
        <v/>
      </c>
      <c r="M49" s="33"/>
    </row>
    <row r="50" customFormat="false" ht="18" hidden="false" customHeight="true" outlineLevel="0" collapsed="false">
      <c r="A50" s="44" t="n">
        <v>30</v>
      </c>
      <c r="B50" s="45" t="n">
        <v>46156</v>
      </c>
      <c r="C50" s="46" t="s">
        <v>38</v>
      </c>
      <c r="D50" s="47" t="s">
        <v>158</v>
      </c>
      <c r="E50" s="48" t="n">
        <v>4</v>
      </c>
      <c r="F50" s="26" t="n">
        <f aca="false">'Norms &amp; Assumptions'!B33*E50</f>
        <v>600</v>
      </c>
      <c r="G50" s="27" t="n">
        <f aca="false">'Norms &amp; Assumptions'!B35*E50</f>
        <v>0.72</v>
      </c>
      <c r="H50" s="28"/>
      <c r="I50" s="29"/>
      <c r="J50" s="30" t="str">
        <f aca="false">IF(H50="","",H50-F50)</f>
        <v/>
      </c>
      <c r="K50" s="31" t="str">
        <f aca="false">IF(I50="","",I50-G50)</f>
        <v/>
      </c>
      <c r="L50" s="32" t="str">
        <f aca="false">IF(OR(H50="",F50=0),"",H50/F50)</f>
        <v/>
      </c>
      <c r="M50" s="33"/>
    </row>
    <row r="51" customFormat="false" ht="18" hidden="false" customHeight="true" outlineLevel="0" collapsed="false">
      <c r="A51" s="44" t="n">
        <v>31</v>
      </c>
      <c r="B51" s="45" t="n">
        <v>46157</v>
      </c>
      <c r="C51" s="46" t="s">
        <v>43</v>
      </c>
      <c r="D51" s="47" t="s">
        <v>159</v>
      </c>
      <c r="E51" s="48" t="n">
        <v>4</v>
      </c>
      <c r="F51" s="26" t="n">
        <f aca="false">'Norms &amp; Assumptions'!B33*E51</f>
        <v>600</v>
      </c>
      <c r="G51" s="27" t="n">
        <f aca="false">'Norms &amp; Assumptions'!B35*E51</f>
        <v>0.72</v>
      </c>
      <c r="H51" s="28"/>
      <c r="I51" s="29"/>
      <c r="J51" s="30" t="str">
        <f aca="false">IF(H51="","",H51-F51)</f>
        <v/>
      </c>
      <c r="K51" s="31" t="str">
        <f aca="false">IF(I51="","",I51-G51)</f>
        <v/>
      </c>
      <c r="L51" s="32" t="str">
        <f aca="false">IF(OR(H51="",F51=0),"",H51/F51)</f>
        <v/>
      </c>
      <c r="M51" s="33"/>
    </row>
    <row r="52" customFormat="false" ht="18" hidden="false" customHeight="true" outlineLevel="0" collapsed="false">
      <c r="A52" s="39"/>
      <c r="B52" s="40" t="n">
        <v>46158</v>
      </c>
      <c r="C52" s="41" t="s">
        <v>41</v>
      </c>
      <c r="D52" s="42" t="s">
        <v>129</v>
      </c>
      <c r="E52" s="43" t="n">
        <v>0</v>
      </c>
      <c r="F52" s="39" t="n">
        <v>0</v>
      </c>
      <c r="G52" s="39" t="n">
        <v>0</v>
      </c>
      <c r="H52" s="39"/>
      <c r="I52" s="39"/>
      <c r="J52" s="39"/>
      <c r="K52" s="39"/>
      <c r="L52" s="39"/>
      <c r="M52" s="39"/>
    </row>
    <row r="53" customFormat="false" ht="18" hidden="false" customHeight="true" outlineLevel="0" collapsed="false">
      <c r="A53" s="39"/>
      <c r="B53" s="40" t="n">
        <v>46159</v>
      </c>
      <c r="C53" s="41" t="s">
        <v>52</v>
      </c>
      <c r="D53" s="42" t="s">
        <v>129</v>
      </c>
      <c r="E53" s="43" t="n">
        <v>0</v>
      </c>
      <c r="F53" s="39" t="n">
        <v>0</v>
      </c>
      <c r="G53" s="39" t="n">
        <v>0</v>
      </c>
      <c r="H53" s="39"/>
      <c r="I53" s="39"/>
      <c r="J53" s="39"/>
      <c r="K53" s="39"/>
      <c r="L53" s="39"/>
      <c r="M53" s="39"/>
    </row>
    <row r="54" customFormat="false" ht="18" hidden="false" customHeight="true" outlineLevel="0" collapsed="false">
      <c r="A54" s="44" t="n">
        <v>32</v>
      </c>
      <c r="B54" s="45" t="n">
        <v>46160</v>
      </c>
      <c r="C54" s="46" t="s">
        <v>46</v>
      </c>
      <c r="D54" s="47" t="s">
        <v>160</v>
      </c>
      <c r="E54" s="48" t="n">
        <v>4</v>
      </c>
      <c r="F54" s="26" t="n">
        <f aca="false">'Norms &amp; Assumptions'!B33*E54</f>
        <v>600</v>
      </c>
      <c r="G54" s="27" t="n">
        <f aca="false">'Norms &amp; Assumptions'!B35*E54</f>
        <v>0.72</v>
      </c>
      <c r="H54" s="28"/>
      <c r="I54" s="29"/>
      <c r="J54" s="30" t="str">
        <f aca="false">IF(H54="","",H54-F54)</f>
        <v/>
      </c>
      <c r="K54" s="31" t="str">
        <f aca="false">IF(I54="","",I54-G54)</f>
        <v/>
      </c>
      <c r="L54" s="32" t="str">
        <f aca="false">IF(OR(H54="",F54=0),"",H54/F54)</f>
        <v/>
      </c>
      <c r="M54" s="33"/>
    </row>
    <row r="55" customFormat="false" ht="18" hidden="false" customHeight="true" outlineLevel="0" collapsed="false">
      <c r="A55" s="44" t="n">
        <v>33</v>
      </c>
      <c r="B55" s="45" t="n">
        <v>46161</v>
      </c>
      <c r="C55" s="46" t="s">
        <v>50</v>
      </c>
      <c r="D55" s="47" t="s">
        <v>161</v>
      </c>
      <c r="E55" s="48" t="n">
        <v>4</v>
      </c>
      <c r="F55" s="26" t="n">
        <f aca="false">'Norms &amp; Assumptions'!B33*E55</f>
        <v>600</v>
      </c>
      <c r="G55" s="27" t="n">
        <f aca="false">'Norms &amp; Assumptions'!B35*E55</f>
        <v>0.72</v>
      </c>
      <c r="H55" s="28"/>
      <c r="I55" s="29"/>
      <c r="J55" s="30" t="str">
        <f aca="false">IF(H55="","",H55-F55)</f>
        <v/>
      </c>
      <c r="K55" s="31" t="str">
        <f aca="false">IF(I55="","",I55-G55)</f>
        <v/>
      </c>
      <c r="L55" s="32" t="str">
        <f aca="false">IF(OR(H55="",F55=0),"",H55/F55)</f>
        <v/>
      </c>
      <c r="M55" s="33"/>
    </row>
    <row r="56" customFormat="false" ht="18" hidden="false" customHeight="true" outlineLevel="0" collapsed="false">
      <c r="A56" s="44" t="n">
        <v>34</v>
      </c>
      <c r="B56" s="45" t="n">
        <v>46162</v>
      </c>
      <c r="C56" s="46" t="s">
        <v>55</v>
      </c>
      <c r="D56" s="47" t="s">
        <v>162</v>
      </c>
      <c r="E56" s="48" t="n">
        <v>4</v>
      </c>
      <c r="F56" s="26" t="n">
        <f aca="false">'Norms &amp; Assumptions'!B33*E56</f>
        <v>600</v>
      </c>
      <c r="G56" s="27" t="n">
        <f aca="false">'Norms &amp; Assumptions'!B35*E56</f>
        <v>0.72</v>
      </c>
      <c r="H56" s="28"/>
      <c r="I56" s="29"/>
      <c r="J56" s="30" t="str">
        <f aca="false">IF(H56="","",H56-F56)</f>
        <v/>
      </c>
      <c r="K56" s="31" t="str">
        <f aca="false">IF(I56="","",I56-G56)</f>
        <v/>
      </c>
      <c r="L56" s="32" t="str">
        <f aca="false">IF(OR(H56="",F56=0),"",H56/F56)</f>
        <v/>
      </c>
      <c r="M56" s="33"/>
    </row>
    <row r="57" customFormat="false" ht="18" hidden="false" customHeight="true" outlineLevel="0" collapsed="false">
      <c r="A57" s="44" t="n">
        <v>35</v>
      </c>
      <c r="B57" s="45" t="n">
        <v>46163</v>
      </c>
      <c r="C57" s="46" t="s">
        <v>38</v>
      </c>
      <c r="D57" s="47" t="s">
        <v>163</v>
      </c>
      <c r="E57" s="48" t="n">
        <v>4</v>
      </c>
      <c r="F57" s="26" t="n">
        <f aca="false">'Norms &amp; Assumptions'!B33*E57</f>
        <v>600</v>
      </c>
      <c r="G57" s="27" t="n">
        <f aca="false">'Norms &amp; Assumptions'!B35*E57</f>
        <v>0.72</v>
      </c>
      <c r="H57" s="28"/>
      <c r="I57" s="29"/>
      <c r="J57" s="30" t="str">
        <f aca="false">IF(H57="","",H57-F57)</f>
        <v/>
      </c>
      <c r="K57" s="31" t="str">
        <f aca="false">IF(I57="","",I57-G57)</f>
        <v/>
      </c>
      <c r="L57" s="32" t="str">
        <f aca="false">IF(OR(H57="",F57=0),"",H57/F57)</f>
        <v/>
      </c>
      <c r="M57" s="33"/>
    </row>
    <row r="58" customFormat="false" ht="18" hidden="false" customHeight="true" outlineLevel="0" collapsed="false">
      <c r="A58" s="44" t="n">
        <v>36</v>
      </c>
      <c r="B58" s="45" t="n">
        <v>46164</v>
      </c>
      <c r="C58" s="46" t="s">
        <v>43</v>
      </c>
      <c r="D58" s="47" t="s">
        <v>164</v>
      </c>
      <c r="E58" s="48" t="n">
        <v>4</v>
      </c>
      <c r="F58" s="26" t="n">
        <f aca="false">'Norms &amp; Assumptions'!B33*E58</f>
        <v>600</v>
      </c>
      <c r="G58" s="27" t="n">
        <f aca="false">'Norms &amp; Assumptions'!B35*E58</f>
        <v>0.72</v>
      </c>
      <c r="H58" s="28"/>
      <c r="I58" s="29"/>
      <c r="J58" s="30" t="str">
        <f aca="false">IF(H58="","",H58-F58)</f>
        <v/>
      </c>
      <c r="K58" s="31" t="str">
        <f aca="false">IF(I58="","",I58-G58)</f>
        <v/>
      </c>
      <c r="L58" s="32" t="str">
        <f aca="false">IF(OR(H58="",F58=0),"",H58/F58)</f>
        <v/>
      </c>
      <c r="M58" s="33"/>
    </row>
    <row r="59" customFormat="false" ht="18" hidden="false" customHeight="true" outlineLevel="0" collapsed="false">
      <c r="A59" s="39"/>
      <c r="B59" s="40" t="n">
        <v>46165</v>
      </c>
      <c r="C59" s="41" t="s">
        <v>41</v>
      </c>
      <c r="D59" s="42" t="s">
        <v>129</v>
      </c>
      <c r="E59" s="43" t="n">
        <v>0</v>
      </c>
      <c r="F59" s="39" t="n">
        <v>0</v>
      </c>
      <c r="G59" s="39" t="n">
        <v>0</v>
      </c>
      <c r="H59" s="39"/>
      <c r="I59" s="39"/>
      <c r="J59" s="39"/>
      <c r="K59" s="39"/>
      <c r="L59" s="39"/>
      <c r="M59" s="39"/>
    </row>
    <row r="60" customFormat="false" ht="18" hidden="false" customHeight="true" outlineLevel="0" collapsed="false">
      <c r="A60" s="39"/>
      <c r="B60" s="40" t="n">
        <v>46166</v>
      </c>
      <c r="C60" s="41" t="s">
        <v>52</v>
      </c>
      <c r="D60" s="42" t="s">
        <v>129</v>
      </c>
      <c r="E60" s="43" t="n">
        <v>0</v>
      </c>
      <c r="F60" s="39" t="n">
        <v>0</v>
      </c>
      <c r="G60" s="39" t="n">
        <v>0</v>
      </c>
      <c r="H60" s="39"/>
      <c r="I60" s="39"/>
      <c r="J60" s="39"/>
      <c r="K60" s="39"/>
      <c r="L60" s="39"/>
      <c r="M60" s="39"/>
    </row>
    <row r="61" customFormat="false" ht="18" hidden="false" customHeight="true" outlineLevel="0" collapsed="false">
      <c r="A61" s="44" t="n">
        <v>37</v>
      </c>
      <c r="B61" s="45" t="n">
        <v>46167</v>
      </c>
      <c r="C61" s="46" t="s">
        <v>46</v>
      </c>
      <c r="D61" s="47" t="s">
        <v>165</v>
      </c>
      <c r="E61" s="48" t="n">
        <v>4</v>
      </c>
      <c r="F61" s="26" t="n">
        <f aca="false">'Norms &amp; Assumptions'!B33*E61</f>
        <v>600</v>
      </c>
      <c r="G61" s="27" t="n">
        <f aca="false">'Norms &amp; Assumptions'!B35*E61</f>
        <v>0.72</v>
      </c>
      <c r="H61" s="28"/>
      <c r="I61" s="29"/>
      <c r="J61" s="30" t="str">
        <f aca="false">IF(H61="","",H61-F61)</f>
        <v/>
      </c>
      <c r="K61" s="31" t="str">
        <f aca="false">IF(I61="","",I61-G61)</f>
        <v/>
      </c>
      <c r="L61" s="32" t="str">
        <f aca="false">IF(OR(H61="",F61=0),"",H61/F61)</f>
        <v/>
      </c>
      <c r="M61" s="33"/>
    </row>
    <row r="62" customFormat="false" ht="18" hidden="false" customHeight="true" outlineLevel="0" collapsed="false">
      <c r="A62" s="44" t="n">
        <v>38</v>
      </c>
      <c r="B62" s="45" t="n">
        <v>46168</v>
      </c>
      <c r="C62" s="46" t="s">
        <v>50</v>
      </c>
      <c r="D62" s="47" t="s">
        <v>166</v>
      </c>
      <c r="E62" s="48" t="n">
        <v>4</v>
      </c>
      <c r="F62" s="26" t="n">
        <f aca="false">'Norms &amp; Assumptions'!B33*E62</f>
        <v>600</v>
      </c>
      <c r="G62" s="27" t="n">
        <f aca="false">'Norms &amp; Assumptions'!B35*E62</f>
        <v>0.72</v>
      </c>
      <c r="H62" s="28"/>
      <c r="I62" s="29"/>
      <c r="J62" s="30" t="str">
        <f aca="false">IF(H62="","",H62-F62)</f>
        <v/>
      </c>
      <c r="K62" s="31" t="str">
        <f aca="false">IF(I62="","",I62-G62)</f>
        <v/>
      </c>
      <c r="L62" s="32" t="str">
        <f aca="false">IF(OR(H62="",F62=0),"",H62/F62)</f>
        <v/>
      </c>
      <c r="M62" s="33"/>
    </row>
    <row r="63" customFormat="false" ht="18" hidden="false" customHeight="true" outlineLevel="0" collapsed="false">
      <c r="A63" s="44" t="n">
        <v>39</v>
      </c>
      <c r="B63" s="45" t="n">
        <v>46169</v>
      </c>
      <c r="C63" s="46" t="s">
        <v>55</v>
      </c>
      <c r="D63" s="47" t="s">
        <v>167</v>
      </c>
      <c r="E63" s="48" t="n">
        <v>4</v>
      </c>
      <c r="F63" s="26" t="n">
        <f aca="false">'Norms &amp; Assumptions'!B33*E63</f>
        <v>600</v>
      </c>
      <c r="G63" s="27" t="n">
        <f aca="false">'Norms &amp; Assumptions'!B35*E63</f>
        <v>0.72</v>
      </c>
      <c r="H63" s="28"/>
      <c r="I63" s="29"/>
      <c r="J63" s="30" t="str">
        <f aca="false">IF(H63="","",H63-F63)</f>
        <v/>
      </c>
      <c r="K63" s="31" t="str">
        <f aca="false">IF(I63="","",I63-G63)</f>
        <v/>
      </c>
      <c r="L63" s="32" t="str">
        <f aca="false">IF(OR(H63="",F63=0),"",H63/F63)</f>
        <v/>
      </c>
      <c r="M63" s="33"/>
    </row>
    <row r="64" customFormat="false" ht="18" hidden="false" customHeight="true" outlineLevel="0" collapsed="false">
      <c r="A64" s="44" t="n">
        <v>40</v>
      </c>
      <c r="B64" s="45" t="n">
        <v>46170</v>
      </c>
      <c r="C64" s="46" t="s">
        <v>38</v>
      </c>
      <c r="D64" s="47" t="s">
        <v>168</v>
      </c>
      <c r="E64" s="48" t="n">
        <v>4</v>
      </c>
      <c r="F64" s="26" t="n">
        <f aca="false">'Norms &amp; Assumptions'!B33*E64</f>
        <v>600</v>
      </c>
      <c r="G64" s="27" t="n">
        <f aca="false">'Norms &amp; Assumptions'!B35*E64</f>
        <v>0.72</v>
      </c>
      <c r="H64" s="28"/>
      <c r="I64" s="29"/>
      <c r="J64" s="30" t="str">
        <f aca="false">IF(H64="","",H64-F64)</f>
        <v/>
      </c>
      <c r="K64" s="31" t="str">
        <f aca="false">IF(I64="","",I64-G64)</f>
        <v/>
      </c>
      <c r="L64" s="32" t="str">
        <f aca="false">IF(OR(H64="",F64=0),"",H64/F64)</f>
        <v/>
      </c>
      <c r="M64" s="33"/>
    </row>
    <row r="65" customFormat="false" ht="18" hidden="false" customHeight="true" outlineLevel="0" collapsed="false">
      <c r="A65" s="44" t="n">
        <v>41</v>
      </c>
      <c r="B65" s="45" t="n">
        <v>46171</v>
      </c>
      <c r="C65" s="46" t="s">
        <v>43</v>
      </c>
      <c r="D65" s="47" t="s">
        <v>169</v>
      </c>
      <c r="E65" s="48" t="n">
        <v>4</v>
      </c>
      <c r="F65" s="26" t="n">
        <f aca="false">'Norms &amp; Assumptions'!B33*E65</f>
        <v>600</v>
      </c>
      <c r="G65" s="27" t="n">
        <f aca="false">'Norms &amp; Assumptions'!B35*E65</f>
        <v>0.72</v>
      </c>
      <c r="H65" s="28"/>
      <c r="I65" s="29"/>
      <c r="J65" s="30" t="str">
        <f aca="false">IF(H65="","",H65-F65)</f>
        <v/>
      </c>
      <c r="K65" s="31" t="str">
        <f aca="false">IF(I65="","",I65-G65)</f>
        <v/>
      </c>
      <c r="L65" s="32" t="str">
        <f aca="false">IF(OR(H65="",F65=0),"",H65/F65)</f>
        <v/>
      </c>
      <c r="M65" s="33"/>
    </row>
    <row r="66" customFormat="false" ht="18" hidden="false" customHeight="true" outlineLevel="0" collapsed="false">
      <c r="A66" s="39"/>
      <c r="B66" s="40" t="n">
        <v>46172</v>
      </c>
      <c r="C66" s="41" t="s">
        <v>41</v>
      </c>
      <c r="D66" s="42" t="s">
        <v>129</v>
      </c>
      <c r="E66" s="43" t="n">
        <v>0</v>
      </c>
      <c r="F66" s="39" t="n">
        <v>0</v>
      </c>
      <c r="G66" s="39" t="n">
        <v>0</v>
      </c>
      <c r="H66" s="39"/>
      <c r="I66" s="39"/>
      <c r="J66" s="39"/>
      <c r="K66" s="39"/>
      <c r="L66" s="39"/>
      <c r="M66" s="39"/>
    </row>
    <row r="67" customFormat="false" ht="18" hidden="false" customHeight="true" outlineLevel="0" collapsed="false">
      <c r="A67" s="39"/>
      <c r="B67" s="40" t="n">
        <v>46173</v>
      </c>
      <c r="C67" s="41" t="s">
        <v>52</v>
      </c>
      <c r="D67" s="42" t="s">
        <v>129</v>
      </c>
      <c r="E67" s="43" t="n">
        <v>0</v>
      </c>
      <c r="F67" s="39" t="n">
        <v>0</v>
      </c>
      <c r="G67" s="39" t="n">
        <v>0</v>
      </c>
      <c r="H67" s="39"/>
      <c r="I67" s="39"/>
      <c r="J67" s="39"/>
      <c r="K67" s="39"/>
      <c r="L67" s="39"/>
      <c r="M67" s="39"/>
    </row>
    <row r="68" customFormat="false" ht="18" hidden="false" customHeight="true" outlineLevel="0" collapsed="false">
      <c r="A68" s="44" t="n">
        <v>42</v>
      </c>
      <c r="B68" s="45" t="n">
        <v>46174</v>
      </c>
      <c r="C68" s="46" t="s">
        <v>46</v>
      </c>
      <c r="D68" s="47" t="s">
        <v>170</v>
      </c>
      <c r="E68" s="48" t="n">
        <v>4</v>
      </c>
      <c r="F68" s="26" t="n">
        <f aca="false">'Norms &amp; Assumptions'!B33*E68</f>
        <v>600</v>
      </c>
      <c r="G68" s="27" t="n">
        <f aca="false">'Norms &amp; Assumptions'!B35*E68</f>
        <v>0.72</v>
      </c>
      <c r="H68" s="28"/>
      <c r="I68" s="29"/>
      <c r="J68" s="30" t="str">
        <f aca="false">IF(H68="","",H68-F68)</f>
        <v/>
      </c>
      <c r="K68" s="31" t="str">
        <f aca="false">IF(I68="","",I68-G68)</f>
        <v/>
      </c>
      <c r="L68" s="32" t="str">
        <f aca="false">IF(OR(H68="",F68=0),"",H68/F68)</f>
        <v/>
      </c>
      <c r="M68" s="33"/>
    </row>
    <row r="69" customFormat="false" ht="18" hidden="false" customHeight="true" outlineLevel="0" collapsed="false">
      <c r="A69" s="44" t="n">
        <v>43</v>
      </c>
      <c r="B69" s="45" t="n">
        <v>46175</v>
      </c>
      <c r="C69" s="46" t="s">
        <v>50</v>
      </c>
      <c r="D69" s="47" t="s">
        <v>171</v>
      </c>
      <c r="E69" s="48" t="n">
        <v>4</v>
      </c>
      <c r="F69" s="26" t="n">
        <f aca="false">'Norms &amp; Assumptions'!B33*E69</f>
        <v>600</v>
      </c>
      <c r="G69" s="27" t="n">
        <f aca="false">'Norms &amp; Assumptions'!B35*E69</f>
        <v>0.72</v>
      </c>
      <c r="H69" s="28"/>
      <c r="I69" s="29"/>
      <c r="J69" s="30" t="str">
        <f aca="false">IF(H69="","",H69-F69)</f>
        <v/>
      </c>
      <c r="K69" s="31" t="str">
        <f aca="false">IF(I69="","",I69-G69)</f>
        <v/>
      </c>
      <c r="L69" s="32" t="str">
        <f aca="false">IF(OR(H69="",F69=0),"",H69/F69)</f>
        <v/>
      </c>
      <c r="M69" s="33"/>
    </row>
    <row r="70" customFormat="false" ht="18" hidden="false" customHeight="true" outlineLevel="0" collapsed="false">
      <c r="A70" s="44" t="n">
        <v>44</v>
      </c>
      <c r="B70" s="45" t="n">
        <v>46176</v>
      </c>
      <c r="C70" s="46" t="s">
        <v>55</v>
      </c>
      <c r="D70" s="47" t="s">
        <v>172</v>
      </c>
      <c r="E70" s="48" t="n">
        <v>4</v>
      </c>
      <c r="F70" s="26" t="n">
        <f aca="false">'Norms &amp; Assumptions'!B33*E70</f>
        <v>600</v>
      </c>
      <c r="G70" s="27" t="n">
        <f aca="false">'Norms &amp; Assumptions'!B35*E70</f>
        <v>0.72</v>
      </c>
      <c r="H70" s="28"/>
      <c r="I70" s="29"/>
      <c r="J70" s="30" t="str">
        <f aca="false">IF(H70="","",H70-F70)</f>
        <v/>
      </c>
      <c r="K70" s="31" t="str">
        <f aca="false">IF(I70="","",I70-G70)</f>
        <v/>
      </c>
      <c r="L70" s="32" t="str">
        <f aca="false">IF(OR(H70="",F70=0),"",H70/F70)</f>
        <v/>
      </c>
      <c r="M70" s="33"/>
    </row>
    <row r="71" customFormat="false" ht="18" hidden="false" customHeight="true" outlineLevel="0" collapsed="false">
      <c r="A71" s="44" t="n">
        <v>45</v>
      </c>
      <c r="B71" s="45" t="n">
        <v>46177</v>
      </c>
      <c r="C71" s="46" t="s">
        <v>38</v>
      </c>
      <c r="D71" s="47" t="s">
        <v>173</v>
      </c>
      <c r="E71" s="48" t="n">
        <v>4</v>
      </c>
      <c r="F71" s="26" t="n">
        <f aca="false">'Norms &amp; Assumptions'!B33*E71</f>
        <v>600</v>
      </c>
      <c r="G71" s="27" t="n">
        <f aca="false">'Norms &amp; Assumptions'!B35*E71</f>
        <v>0.72</v>
      </c>
      <c r="H71" s="28"/>
      <c r="I71" s="29"/>
      <c r="J71" s="30" t="str">
        <f aca="false">IF(H71="","",H71-F71)</f>
        <v/>
      </c>
      <c r="K71" s="31" t="str">
        <f aca="false">IF(I71="","",I71-G71)</f>
        <v/>
      </c>
      <c r="L71" s="32" t="str">
        <f aca="false">IF(OR(H71="",F71=0),"",H71/F71)</f>
        <v/>
      </c>
      <c r="M71" s="33"/>
    </row>
    <row r="72" customFormat="false" ht="18" hidden="false" customHeight="true" outlineLevel="0" collapsed="false">
      <c r="A72" s="44" t="n">
        <v>46</v>
      </c>
      <c r="B72" s="45" t="n">
        <v>46178</v>
      </c>
      <c r="C72" s="46" t="s">
        <v>43</v>
      </c>
      <c r="D72" s="47" t="s">
        <v>174</v>
      </c>
      <c r="E72" s="48" t="n">
        <v>4</v>
      </c>
      <c r="F72" s="26" t="n">
        <f aca="false">'Norms &amp; Assumptions'!B33*E72</f>
        <v>600</v>
      </c>
      <c r="G72" s="27" t="n">
        <f aca="false">'Norms &amp; Assumptions'!B35*E72</f>
        <v>0.72</v>
      </c>
      <c r="H72" s="28"/>
      <c r="I72" s="29"/>
      <c r="J72" s="30" t="str">
        <f aca="false">IF(H72="","",H72-F72)</f>
        <v/>
      </c>
      <c r="K72" s="31" t="str">
        <f aca="false">IF(I72="","",I72-G72)</f>
        <v/>
      </c>
      <c r="L72" s="32" t="str">
        <f aca="false">IF(OR(H72="",F72=0),"",H72/F72)</f>
        <v/>
      </c>
      <c r="M72" s="33"/>
    </row>
    <row r="73" customFormat="false" ht="18" hidden="false" customHeight="true" outlineLevel="0" collapsed="false">
      <c r="A73" s="39"/>
      <c r="B73" s="40" t="n">
        <v>46179</v>
      </c>
      <c r="C73" s="41" t="s">
        <v>41</v>
      </c>
      <c r="D73" s="42" t="s">
        <v>129</v>
      </c>
      <c r="E73" s="43" t="n">
        <v>0</v>
      </c>
      <c r="F73" s="39" t="n">
        <v>0</v>
      </c>
      <c r="G73" s="39" t="n">
        <v>0</v>
      </c>
      <c r="H73" s="39"/>
      <c r="I73" s="39"/>
      <c r="J73" s="39"/>
      <c r="K73" s="39"/>
      <c r="L73" s="39"/>
      <c r="M73" s="39"/>
    </row>
    <row r="74" customFormat="false" ht="18" hidden="false" customHeight="true" outlineLevel="0" collapsed="false">
      <c r="A74" s="39"/>
      <c r="B74" s="40" t="n">
        <v>46180</v>
      </c>
      <c r="C74" s="41" t="s">
        <v>52</v>
      </c>
      <c r="D74" s="42" t="s">
        <v>129</v>
      </c>
      <c r="E74" s="43" t="n">
        <v>0</v>
      </c>
      <c r="F74" s="39" t="n">
        <v>0</v>
      </c>
      <c r="G74" s="39" t="n">
        <v>0</v>
      </c>
      <c r="H74" s="39"/>
      <c r="I74" s="39"/>
      <c r="J74" s="39"/>
      <c r="K74" s="39"/>
      <c r="L74" s="39"/>
      <c r="M74" s="39"/>
    </row>
    <row r="75" customFormat="false" ht="18" hidden="false" customHeight="true" outlineLevel="0" collapsed="false">
      <c r="A75" s="44" t="n">
        <v>47</v>
      </c>
      <c r="B75" s="45" t="n">
        <v>46181</v>
      </c>
      <c r="C75" s="46" t="s">
        <v>46</v>
      </c>
      <c r="D75" s="47" t="s">
        <v>175</v>
      </c>
      <c r="E75" s="48" t="n">
        <v>4</v>
      </c>
      <c r="F75" s="26" t="n">
        <f aca="false">'Norms &amp; Assumptions'!B33*E75</f>
        <v>600</v>
      </c>
      <c r="G75" s="27" t="n">
        <f aca="false">'Norms &amp; Assumptions'!B35*E75</f>
        <v>0.72</v>
      </c>
      <c r="H75" s="28"/>
      <c r="I75" s="29"/>
      <c r="J75" s="30" t="str">
        <f aca="false">IF(H75="","",H75-F75)</f>
        <v/>
      </c>
      <c r="K75" s="31" t="str">
        <f aca="false">IF(I75="","",I75-G75)</f>
        <v/>
      </c>
      <c r="L75" s="32" t="str">
        <f aca="false">IF(OR(H75="",F75=0),"",H75/F75)</f>
        <v/>
      </c>
      <c r="M75" s="33"/>
    </row>
    <row r="76" customFormat="false" ht="18" hidden="false" customHeight="true" outlineLevel="0" collapsed="false">
      <c r="A76" s="44" t="n">
        <v>48</v>
      </c>
      <c r="B76" s="45" t="n">
        <v>46182</v>
      </c>
      <c r="C76" s="46" t="s">
        <v>50</v>
      </c>
      <c r="D76" s="47" t="s">
        <v>176</v>
      </c>
      <c r="E76" s="48" t="n">
        <v>4</v>
      </c>
      <c r="F76" s="26" t="n">
        <f aca="false">'Norms &amp; Assumptions'!B33*E76</f>
        <v>600</v>
      </c>
      <c r="G76" s="27" t="n">
        <f aca="false">'Norms &amp; Assumptions'!B35*E76</f>
        <v>0.72</v>
      </c>
      <c r="H76" s="28"/>
      <c r="I76" s="29"/>
      <c r="J76" s="30" t="str">
        <f aca="false">IF(H76="","",H76-F76)</f>
        <v/>
      </c>
      <c r="K76" s="31" t="str">
        <f aca="false">IF(I76="","",I76-G76)</f>
        <v/>
      </c>
      <c r="L76" s="32" t="str">
        <f aca="false">IF(OR(H76="",F76=0),"",H76/F76)</f>
        <v/>
      </c>
      <c r="M76" s="33"/>
    </row>
    <row r="77" customFormat="false" ht="18" hidden="false" customHeight="true" outlineLevel="0" collapsed="false">
      <c r="A77" s="44" t="n">
        <v>49</v>
      </c>
      <c r="B77" s="45" t="n">
        <v>46183</v>
      </c>
      <c r="C77" s="46" t="s">
        <v>55</v>
      </c>
      <c r="D77" s="47" t="s">
        <v>177</v>
      </c>
      <c r="E77" s="48" t="n">
        <v>4</v>
      </c>
      <c r="F77" s="26" t="n">
        <f aca="false">'Norms &amp; Assumptions'!B33*E77</f>
        <v>600</v>
      </c>
      <c r="G77" s="27" t="n">
        <f aca="false">'Norms &amp; Assumptions'!B35*E77</f>
        <v>0.72</v>
      </c>
      <c r="H77" s="28"/>
      <c r="I77" s="29"/>
      <c r="J77" s="30" t="str">
        <f aca="false">IF(H77="","",H77-F77)</f>
        <v/>
      </c>
      <c r="K77" s="31" t="str">
        <f aca="false">IF(I77="","",I77-G77)</f>
        <v/>
      </c>
      <c r="L77" s="32" t="str">
        <f aca="false">IF(OR(H77="",F77=0),"",H77/F77)</f>
        <v/>
      </c>
      <c r="M77" s="33"/>
    </row>
    <row r="78" customFormat="false" ht="18" hidden="false" customHeight="true" outlineLevel="0" collapsed="false">
      <c r="A78" s="44" t="n">
        <v>50</v>
      </c>
      <c r="B78" s="45" t="n">
        <v>46184</v>
      </c>
      <c r="C78" s="46" t="s">
        <v>38</v>
      </c>
      <c r="D78" s="47" t="s">
        <v>178</v>
      </c>
      <c r="E78" s="48" t="n">
        <v>4</v>
      </c>
      <c r="F78" s="26" t="n">
        <f aca="false">'Norms &amp; Assumptions'!B33*E78</f>
        <v>600</v>
      </c>
      <c r="G78" s="27" t="n">
        <f aca="false">'Norms &amp; Assumptions'!B35*E78</f>
        <v>0.72</v>
      </c>
      <c r="H78" s="28"/>
      <c r="I78" s="29"/>
      <c r="J78" s="30" t="str">
        <f aca="false">IF(H78="","",H78-F78)</f>
        <v/>
      </c>
      <c r="K78" s="31" t="str">
        <f aca="false">IF(I78="","",I78-G78)</f>
        <v/>
      </c>
      <c r="L78" s="32" t="str">
        <f aca="false">IF(OR(H78="",F78=0),"",H78/F78)</f>
        <v/>
      </c>
      <c r="M78" s="33"/>
    </row>
    <row r="79" customFormat="false" ht="18" hidden="false" customHeight="true" outlineLevel="0" collapsed="false">
      <c r="A79" s="44" t="n">
        <v>51</v>
      </c>
      <c r="B79" s="45" t="n">
        <v>46185</v>
      </c>
      <c r="C79" s="46" t="s">
        <v>43</v>
      </c>
      <c r="D79" s="47" t="s">
        <v>179</v>
      </c>
      <c r="E79" s="48" t="n">
        <v>4</v>
      </c>
      <c r="F79" s="26" t="n">
        <f aca="false">'Norms &amp; Assumptions'!B33*E79</f>
        <v>600</v>
      </c>
      <c r="G79" s="27" t="n">
        <f aca="false">'Norms &amp; Assumptions'!B35*E79</f>
        <v>0.72</v>
      </c>
      <c r="H79" s="28"/>
      <c r="I79" s="29"/>
      <c r="J79" s="30" t="str">
        <f aca="false">IF(H79="","",H79-F79)</f>
        <v/>
      </c>
      <c r="K79" s="31" t="str">
        <f aca="false">IF(I79="","",I79-G79)</f>
        <v/>
      </c>
      <c r="L79" s="32" t="str">
        <f aca="false">IF(OR(H79="",F79=0),"",H79/F79)</f>
        <v/>
      </c>
      <c r="M79" s="33"/>
    </row>
    <row r="80" customFormat="false" ht="18" hidden="false" customHeight="true" outlineLevel="0" collapsed="false">
      <c r="A80" s="39"/>
      <c r="B80" s="40" t="n">
        <v>46186</v>
      </c>
      <c r="C80" s="41" t="s">
        <v>41</v>
      </c>
      <c r="D80" s="42" t="s">
        <v>129</v>
      </c>
      <c r="E80" s="43" t="n">
        <v>0</v>
      </c>
      <c r="F80" s="39" t="n">
        <v>0</v>
      </c>
      <c r="G80" s="39" t="n">
        <v>0</v>
      </c>
      <c r="H80" s="39"/>
      <c r="I80" s="39"/>
      <c r="J80" s="39"/>
      <c r="K80" s="39"/>
      <c r="L80" s="39"/>
      <c r="M80" s="39"/>
    </row>
    <row r="81" customFormat="false" ht="18" hidden="false" customHeight="true" outlineLevel="0" collapsed="false">
      <c r="A81" s="39"/>
      <c r="B81" s="40" t="n">
        <v>46187</v>
      </c>
      <c r="C81" s="41" t="s">
        <v>52</v>
      </c>
      <c r="D81" s="42" t="s">
        <v>129</v>
      </c>
      <c r="E81" s="43" t="n">
        <v>0</v>
      </c>
      <c r="F81" s="39" t="n">
        <v>0</v>
      </c>
      <c r="G81" s="39" t="n">
        <v>0</v>
      </c>
      <c r="H81" s="39"/>
      <c r="I81" s="39"/>
      <c r="J81" s="39"/>
      <c r="K81" s="39"/>
      <c r="L81" s="39"/>
      <c r="M81" s="39"/>
    </row>
    <row r="82" customFormat="false" ht="18" hidden="false" customHeight="true" outlineLevel="0" collapsed="false">
      <c r="A82" s="44" t="n">
        <v>52</v>
      </c>
      <c r="B82" s="45" t="n">
        <v>46188</v>
      </c>
      <c r="C82" s="46" t="s">
        <v>46</v>
      </c>
      <c r="D82" s="47" t="s">
        <v>180</v>
      </c>
      <c r="E82" s="48" t="n">
        <v>4</v>
      </c>
      <c r="F82" s="26" t="n">
        <f aca="false">'Norms &amp; Assumptions'!B33*E82</f>
        <v>600</v>
      </c>
      <c r="G82" s="27" t="n">
        <f aca="false">'Norms &amp; Assumptions'!B35*E82</f>
        <v>0.72</v>
      </c>
      <c r="H82" s="28"/>
      <c r="I82" s="29"/>
      <c r="J82" s="30" t="str">
        <f aca="false">IF(H82="","",H82-F82)</f>
        <v/>
      </c>
      <c r="K82" s="31" t="str">
        <f aca="false">IF(I82="","",I82-G82)</f>
        <v/>
      </c>
      <c r="L82" s="32" t="str">
        <f aca="false">IF(OR(H82="",F82=0),"",H82/F82)</f>
        <v/>
      </c>
      <c r="M82" s="33"/>
    </row>
    <row r="83" customFormat="false" ht="18" hidden="false" customHeight="true" outlineLevel="0" collapsed="false">
      <c r="A83" s="34"/>
      <c r="B83" s="35" t="n">
        <v>46189</v>
      </c>
      <c r="C83" s="36" t="s">
        <v>50</v>
      </c>
      <c r="D83" s="37" t="s">
        <v>181</v>
      </c>
      <c r="E83" s="38" t="n">
        <v>0</v>
      </c>
      <c r="F83" s="34" t="n">
        <v>0</v>
      </c>
      <c r="G83" s="34" t="n">
        <v>0</v>
      </c>
      <c r="H83" s="34"/>
      <c r="I83" s="34"/>
      <c r="J83" s="34"/>
      <c r="K83" s="34"/>
      <c r="L83" s="34"/>
      <c r="M83" s="34"/>
    </row>
    <row r="84" customFormat="false" ht="18" hidden="false" customHeight="true" outlineLevel="0" collapsed="false">
      <c r="A84" s="44" t="n">
        <v>53</v>
      </c>
      <c r="B84" s="45" t="n">
        <v>46190</v>
      </c>
      <c r="C84" s="46" t="s">
        <v>55</v>
      </c>
      <c r="D84" s="47" t="s">
        <v>182</v>
      </c>
      <c r="E84" s="48" t="n">
        <v>4</v>
      </c>
      <c r="F84" s="26" t="n">
        <f aca="false">'Norms &amp; Assumptions'!B33*E84</f>
        <v>600</v>
      </c>
      <c r="G84" s="27" t="n">
        <f aca="false">'Norms &amp; Assumptions'!B35*E84</f>
        <v>0.72</v>
      </c>
      <c r="H84" s="28"/>
      <c r="I84" s="29"/>
      <c r="J84" s="30" t="str">
        <f aca="false">IF(H84="","",H84-F84)</f>
        <v/>
      </c>
      <c r="K84" s="31" t="str">
        <f aca="false">IF(I84="","",I84-G84)</f>
        <v/>
      </c>
      <c r="L84" s="32" t="str">
        <f aca="false">IF(OR(H84="",F84=0),"",H84/F84)</f>
        <v/>
      </c>
      <c r="M84" s="33"/>
    </row>
    <row r="85" customFormat="false" ht="18" hidden="false" customHeight="true" outlineLevel="0" collapsed="false">
      <c r="A85" s="44" t="n">
        <v>54</v>
      </c>
      <c r="B85" s="45" t="n">
        <v>46191</v>
      </c>
      <c r="C85" s="46" t="s">
        <v>38</v>
      </c>
      <c r="D85" s="47" t="s">
        <v>183</v>
      </c>
      <c r="E85" s="48" t="n">
        <v>4</v>
      </c>
      <c r="F85" s="26" t="n">
        <f aca="false">'Norms &amp; Assumptions'!B33*E85</f>
        <v>600</v>
      </c>
      <c r="G85" s="27" t="n">
        <f aca="false">'Norms &amp; Assumptions'!B35*E85</f>
        <v>0.72</v>
      </c>
      <c r="H85" s="28"/>
      <c r="I85" s="29"/>
      <c r="J85" s="30" t="str">
        <f aca="false">IF(H85="","",H85-F85)</f>
        <v/>
      </c>
      <c r="K85" s="31" t="str">
        <f aca="false">IF(I85="","",I85-G85)</f>
        <v/>
      </c>
      <c r="L85" s="32" t="str">
        <f aca="false">IF(OR(H85="",F85=0),"",H85/F85)</f>
        <v/>
      </c>
      <c r="M85" s="33"/>
    </row>
    <row r="86" customFormat="false" ht="18" hidden="false" customHeight="true" outlineLevel="0" collapsed="false">
      <c r="A86" s="44" t="n">
        <v>55</v>
      </c>
      <c r="B86" s="45" t="n">
        <v>46192</v>
      </c>
      <c r="C86" s="46" t="s">
        <v>43</v>
      </c>
      <c r="D86" s="47" t="s">
        <v>184</v>
      </c>
      <c r="E86" s="48" t="n">
        <v>4</v>
      </c>
      <c r="F86" s="26" t="n">
        <f aca="false">'Norms &amp; Assumptions'!B33*E86</f>
        <v>600</v>
      </c>
      <c r="G86" s="27" t="n">
        <f aca="false">'Norms &amp; Assumptions'!B35*E86</f>
        <v>0.72</v>
      </c>
      <c r="H86" s="28"/>
      <c r="I86" s="29"/>
      <c r="J86" s="30" t="str">
        <f aca="false">IF(H86="","",H86-F86)</f>
        <v/>
      </c>
      <c r="K86" s="31" t="str">
        <f aca="false">IF(I86="","",I86-G86)</f>
        <v/>
      </c>
      <c r="L86" s="32" t="str">
        <f aca="false">IF(OR(H86="",F86=0),"",H86/F86)</f>
        <v/>
      </c>
      <c r="M86" s="33"/>
    </row>
    <row r="87" customFormat="false" ht="18" hidden="false" customHeight="true" outlineLevel="0" collapsed="false">
      <c r="A87" s="39"/>
      <c r="B87" s="40" t="n">
        <v>46193</v>
      </c>
      <c r="C87" s="41" t="s">
        <v>41</v>
      </c>
      <c r="D87" s="42" t="s">
        <v>129</v>
      </c>
      <c r="E87" s="43" t="n">
        <v>0</v>
      </c>
      <c r="F87" s="39" t="n">
        <v>0</v>
      </c>
      <c r="G87" s="39" t="n">
        <v>0</v>
      </c>
      <c r="H87" s="39"/>
      <c r="I87" s="39"/>
      <c r="J87" s="39"/>
      <c r="K87" s="39"/>
      <c r="L87" s="39"/>
      <c r="M87" s="39"/>
    </row>
    <row r="88" customFormat="false" ht="18" hidden="false" customHeight="true" outlineLevel="0" collapsed="false">
      <c r="A88" s="39"/>
      <c r="B88" s="40" t="n">
        <v>46194</v>
      </c>
      <c r="C88" s="41" t="s">
        <v>52</v>
      </c>
      <c r="D88" s="42" t="s">
        <v>129</v>
      </c>
      <c r="E88" s="43" t="n">
        <v>0</v>
      </c>
      <c r="F88" s="39" t="n">
        <v>0</v>
      </c>
      <c r="G88" s="39" t="n">
        <v>0</v>
      </c>
      <c r="H88" s="39"/>
      <c r="I88" s="39"/>
      <c r="J88" s="39"/>
      <c r="K88" s="39"/>
      <c r="L88" s="39"/>
      <c r="M88" s="39"/>
    </row>
    <row r="89" customFormat="false" ht="18" hidden="false" customHeight="true" outlineLevel="0" collapsed="false">
      <c r="A89" s="44" t="n">
        <v>56</v>
      </c>
      <c r="B89" s="45" t="n">
        <v>46195</v>
      </c>
      <c r="C89" s="46" t="s">
        <v>46</v>
      </c>
      <c r="D89" s="47" t="s">
        <v>185</v>
      </c>
      <c r="E89" s="48" t="n">
        <v>4</v>
      </c>
      <c r="F89" s="26" t="n">
        <f aca="false">'Norms &amp; Assumptions'!B33*E89</f>
        <v>600</v>
      </c>
      <c r="G89" s="27" t="n">
        <f aca="false">'Norms &amp; Assumptions'!B35*E89</f>
        <v>0.72</v>
      </c>
      <c r="H89" s="28"/>
      <c r="I89" s="29"/>
      <c r="J89" s="30" t="str">
        <f aca="false">IF(H89="","",H89-F89)</f>
        <v/>
      </c>
      <c r="K89" s="31" t="str">
        <f aca="false">IF(I89="","",I89-G89)</f>
        <v/>
      </c>
      <c r="L89" s="32" t="str">
        <f aca="false">IF(OR(H89="",F89=0),"",H89/F89)</f>
        <v/>
      </c>
      <c r="M89" s="33"/>
    </row>
    <row r="90" customFormat="false" ht="18" hidden="false" customHeight="true" outlineLevel="0" collapsed="false">
      <c r="A90" s="44" t="n">
        <v>57</v>
      </c>
      <c r="B90" s="45" t="n">
        <v>46196</v>
      </c>
      <c r="C90" s="46" t="s">
        <v>50</v>
      </c>
      <c r="D90" s="47" t="s">
        <v>186</v>
      </c>
      <c r="E90" s="48" t="n">
        <v>4</v>
      </c>
      <c r="F90" s="26" t="n">
        <f aca="false">'Norms &amp; Assumptions'!B33*E90</f>
        <v>600</v>
      </c>
      <c r="G90" s="27" t="n">
        <f aca="false">'Norms &amp; Assumptions'!B35*E90</f>
        <v>0.72</v>
      </c>
      <c r="H90" s="28"/>
      <c r="I90" s="29"/>
      <c r="J90" s="30" t="str">
        <f aca="false">IF(H90="","",H90-F90)</f>
        <v/>
      </c>
      <c r="K90" s="31" t="str">
        <f aca="false">IF(I90="","",I90-G90)</f>
        <v/>
      </c>
      <c r="L90" s="32" t="str">
        <f aca="false">IF(OR(H90="",F90=0),"",H90/F90)</f>
        <v/>
      </c>
      <c r="M90" s="33"/>
    </row>
    <row r="91" customFormat="false" ht="18" hidden="false" customHeight="true" outlineLevel="0" collapsed="false">
      <c r="A91" s="44" t="n">
        <v>58</v>
      </c>
      <c r="B91" s="45" t="n">
        <v>46197</v>
      </c>
      <c r="C91" s="46" t="s">
        <v>55</v>
      </c>
      <c r="D91" s="47" t="s">
        <v>187</v>
      </c>
      <c r="E91" s="48" t="n">
        <v>4</v>
      </c>
      <c r="F91" s="26" t="n">
        <f aca="false">'Norms &amp; Assumptions'!B33*E91</f>
        <v>600</v>
      </c>
      <c r="G91" s="27" t="n">
        <f aca="false">'Norms &amp; Assumptions'!B35*E91</f>
        <v>0.72</v>
      </c>
      <c r="H91" s="28"/>
      <c r="I91" s="29"/>
      <c r="J91" s="30" t="str">
        <f aca="false">IF(H91="","",H91-F91)</f>
        <v/>
      </c>
      <c r="K91" s="31" t="str">
        <f aca="false">IF(I91="","",I91-G91)</f>
        <v/>
      </c>
      <c r="L91" s="32" t="str">
        <f aca="false">IF(OR(H91="",F91=0),"",H91/F91)</f>
        <v/>
      </c>
      <c r="M91" s="33"/>
    </row>
    <row r="92" customFormat="false" ht="18" hidden="false" customHeight="true" outlineLevel="0" collapsed="false">
      <c r="A92" s="44" t="n">
        <v>59</v>
      </c>
      <c r="B92" s="45" t="n">
        <v>46198</v>
      </c>
      <c r="C92" s="46" t="s">
        <v>38</v>
      </c>
      <c r="D92" s="47" t="s">
        <v>188</v>
      </c>
      <c r="E92" s="48" t="n">
        <v>4</v>
      </c>
      <c r="F92" s="26" t="n">
        <f aca="false">'Norms &amp; Assumptions'!B33*E92</f>
        <v>600</v>
      </c>
      <c r="G92" s="27" t="n">
        <f aca="false">'Norms &amp; Assumptions'!B35*E92</f>
        <v>0.72</v>
      </c>
      <c r="H92" s="28"/>
      <c r="I92" s="29"/>
      <c r="J92" s="30" t="str">
        <f aca="false">IF(H92="","",H92-F92)</f>
        <v/>
      </c>
      <c r="K92" s="31" t="str">
        <f aca="false">IF(I92="","",I92-G92)</f>
        <v/>
      </c>
      <c r="L92" s="32" t="str">
        <f aca="false">IF(OR(H92="",F92=0),"",H92/F92)</f>
        <v/>
      </c>
      <c r="M92" s="33"/>
    </row>
    <row r="93" customFormat="false" ht="18" hidden="false" customHeight="true" outlineLevel="0" collapsed="false">
      <c r="A93" s="44" t="n">
        <v>60</v>
      </c>
      <c r="B93" s="45" t="n">
        <v>46199</v>
      </c>
      <c r="C93" s="46" t="s">
        <v>43</v>
      </c>
      <c r="D93" s="47" t="s">
        <v>189</v>
      </c>
      <c r="E93" s="48" t="n">
        <v>4</v>
      </c>
      <c r="F93" s="26" t="n">
        <f aca="false">'Norms &amp; Assumptions'!B33*E93</f>
        <v>600</v>
      </c>
      <c r="G93" s="27" t="n">
        <f aca="false">'Norms &amp; Assumptions'!B35*E93</f>
        <v>0.72</v>
      </c>
      <c r="H93" s="28"/>
      <c r="I93" s="29"/>
      <c r="J93" s="30" t="str">
        <f aca="false">IF(H93="","",H93-F93)</f>
        <v/>
      </c>
      <c r="K93" s="31" t="str">
        <f aca="false">IF(I93="","",I93-G93)</f>
        <v/>
      </c>
      <c r="L93" s="32" t="str">
        <f aca="false">IF(OR(H93="",F93=0),"",H93/F93)</f>
        <v/>
      </c>
      <c r="M93" s="33"/>
    </row>
    <row r="94" customFormat="false" ht="18" hidden="false" customHeight="true" outlineLevel="0" collapsed="false">
      <c r="A94" s="39"/>
      <c r="B94" s="40" t="n">
        <v>46200</v>
      </c>
      <c r="C94" s="41" t="s">
        <v>41</v>
      </c>
      <c r="D94" s="42" t="s">
        <v>129</v>
      </c>
      <c r="E94" s="43" t="n">
        <v>0</v>
      </c>
      <c r="F94" s="39" t="n">
        <v>0</v>
      </c>
      <c r="G94" s="39" t="n">
        <v>0</v>
      </c>
      <c r="H94" s="39"/>
      <c r="I94" s="39"/>
      <c r="J94" s="39"/>
      <c r="K94" s="39"/>
      <c r="L94" s="39"/>
      <c r="M94" s="39"/>
    </row>
    <row r="95" customFormat="false" ht="18" hidden="false" customHeight="true" outlineLevel="0" collapsed="false">
      <c r="A95" s="39"/>
      <c r="B95" s="40" t="n">
        <v>46201</v>
      </c>
      <c r="C95" s="41" t="s">
        <v>52</v>
      </c>
      <c r="D95" s="42" t="s">
        <v>129</v>
      </c>
      <c r="E95" s="43" t="n">
        <v>0</v>
      </c>
      <c r="F95" s="39" t="n">
        <v>0</v>
      </c>
      <c r="G95" s="39" t="n">
        <v>0</v>
      </c>
      <c r="H95" s="39"/>
      <c r="I95" s="39"/>
      <c r="J95" s="39"/>
      <c r="K95" s="39"/>
      <c r="L95" s="39"/>
      <c r="M95" s="39"/>
    </row>
    <row r="96" customFormat="false" ht="18" hidden="false" customHeight="true" outlineLevel="0" collapsed="false">
      <c r="A96" s="44" t="n">
        <v>61</v>
      </c>
      <c r="B96" s="45" t="n">
        <v>46202</v>
      </c>
      <c r="C96" s="46" t="s">
        <v>46</v>
      </c>
      <c r="D96" s="47" t="s">
        <v>190</v>
      </c>
      <c r="E96" s="48" t="n">
        <v>4</v>
      </c>
      <c r="F96" s="26" t="n">
        <f aca="false">'Norms &amp; Assumptions'!B33*E96</f>
        <v>600</v>
      </c>
      <c r="G96" s="27" t="n">
        <f aca="false">'Norms &amp; Assumptions'!B35*E96</f>
        <v>0.72</v>
      </c>
      <c r="H96" s="28"/>
      <c r="I96" s="29"/>
      <c r="J96" s="30" t="str">
        <f aca="false">IF(H96="","",H96-F96)</f>
        <v/>
      </c>
      <c r="K96" s="31" t="str">
        <f aca="false">IF(I96="","",I96-G96)</f>
        <v/>
      </c>
      <c r="L96" s="32" t="str">
        <f aca="false">IF(OR(H96="",F96=0),"",H96/F96)</f>
        <v/>
      </c>
      <c r="M96" s="33"/>
    </row>
    <row r="97" customFormat="false" ht="18" hidden="false" customHeight="true" outlineLevel="0" collapsed="false">
      <c r="A97" s="44" t="n">
        <v>62</v>
      </c>
      <c r="B97" s="45" t="n">
        <v>46203</v>
      </c>
      <c r="C97" s="46" t="s">
        <v>50</v>
      </c>
      <c r="D97" s="47" t="s">
        <v>191</v>
      </c>
      <c r="E97" s="48" t="n">
        <v>4</v>
      </c>
      <c r="F97" s="26" t="n">
        <f aca="false">'Norms &amp; Assumptions'!B33*E97</f>
        <v>600</v>
      </c>
      <c r="G97" s="27" t="n">
        <f aca="false">'Norms &amp; Assumptions'!B35*E97</f>
        <v>0.72</v>
      </c>
      <c r="H97" s="28"/>
      <c r="I97" s="29"/>
      <c r="J97" s="30" t="str">
        <f aca="false">IF(H97="","",H97-F97)</f>
        <v/>
      </c>
      <c r="K97" s="31" t="str">
        <f aca="false">IF(I97="","",I97-G97)</f>
        <v/>
      </c>
      <c r="L97" s="32" t="str">
        <f aca="false">IF(OR(H97="",F97=0),"",H97/F97)</f>
        <v/>
      </c>
      <c r="M97" s="33"/>
    </row>
    <row r="98" customFormat="false" ht="18" hidden="false" customHeight="true" outlineLevel="0" collapsed="false">
      <c r="A98" s="44" t="n">
        <v>63</v>
      </c>
      <c r="B98" s="45" t="n">
        <v>46204</v>
      </c>
      <c r="C98" s="46" t="s">
        <v>55</v>
      </c>
      <c r="D98" s="47" t="s">
        <v>192</v>
      </c>
      <c r="E98" s="48" t="n">
        <v>4</v>
      </c>
      <c r="F98" s="26" t="n">
        <f aca="false">'Norms &amp; Assumptions'!B33*E98</f>
        <v>600</v>
      </c>
      <c r="G98" s="27" t="n">
        <f aca="false">'Norms &amp; Assumptions'!B35*E98</f>
        <v>0.72</v>
      </c>
      <c r="H98" s="28"/>
      <c r="I98" s="29"/>
      <c r="J98" s="30" t="str">
        <f aca="false">IF(H98="","",H98-F98)</f>
        <v/>
      </c>
      <c r="K98" s="31" t="str">
        <f aca="false">IF(I98="","",I98-G98)</f>
        <v/>
      </c>
      <c r="L98" s="32" t="str">
        <f aca="false">IF(OR(H98="",F98=0),"",H98/F98)</f>
        <v/>
      </c>
      <c r="M98" s="33"/>
    </row>
    <row r="99" customFormat="false" ht="18" hidden="false" customHeight="true" outlineLevel="0" collapsed="false">
      <c r="A99" s="44" t="n">
        <v>64</v>
      </c>
      <c r="B99" s="45" t="n">
        <v>46205</v>
      </c>
      <c r="C99" s="46" t="s">
        <v>38</v>
      </c>
      <c r="D99" s="47" t="s">
        <v>193</v>
      </c>
      <c r="E99" s="48" t="n">
        <v>4</v>
      </c>
      <c r="F99" s="26" t="n">
        <f aca="false">'Norms &amp; Assumptions'!B33*E99</f>
        <v>600</v>
      </c>
      <c r="G99" s="27" t="n">
        <f aca="false">'Norms &amp; Assumptions'!B35*E99</f>
        <v>0.72</v>
      </c>
      <c r="H99" s="28"/>
      <c r="I99" s="29"/>
      <c r="J99" s="30" t="str">
        <f aca="false">IF(H99="","",H99-F99)</f>
        <v/>
      </c>
      <c r="K99" s="31" t="str">
        <f aca="false">IF(I99="","",I99-G99)</f>
        <v/>
      </c>
      <c r="L99" s="32" t="str">
        <f aca="false">IF(OR(H99="",F99=0),"",H99/F99)</f>
        <v/>
      </c>
      <c r="M99" s="33"/>
    </row>
    <row r="100" customFormat="false" ht="18" hidden="false" customHeight="true" outlineLevel="0" collapsed="false">
      <c r="A100" s="44" t="n">
        <v>65</v>
      </c>
      <c r="B100" s="45" t="n">
        <v>46206</v>
      </c>
      <c r="C100" s="46" t="s">
        <v>43</v>
      </c>
      <c r="D100" s="47" t="s">
        <v>194</v>
      </c>
      <c r="E100" s="48" t="n">
        <v>4</v>
      </c>
      <c r="F100" s="26" t="n">
        <f aca="false">'Norms &amp; Assumptions'!B33*E100</f>
        <v>600</v>
      </c>
      <c r="G100" s="27" t="n">
        <f aca="false">'Norms &amp; Assumptions'!B35*E100</f>
        <v>0.72</v>
      </c>
      <c r="H100" s="28"/>
      <c r="I100" s="29"/>
      <c r="J100" s="30" t="str">
        <f aca="false">IF(H100="","",H100-F100)</f>
        <v/>
      </c>
      <c r="K100" s="31" t="str">
        <f aca="false">IF(I100="","",I100-G100)</f>
        <v/>
      </c>
      <c r="L100" s="32" t="str">
        <f aca="false">IF(OR(H100="",F100=0),"",H100/F100)</f>
        <v/>
      </c>
      <c r="M100" s="33"/>
    </row>
    <row r="101" customFormat="false" ht="18" hidden="false" customHeight="true" outlineLevel="0" collapsed="false">
      <c r="A101" s="39"/>
      <c r="B101" s="40" t="n">
        <v>46207</v>
      </c>
      <c r="C101" s="41" t="s">
        <v>41</v>
      </c>
      <c r="D101" s="42" t="s">
        <v>129</v>
      </c>
      <c r="E101" s="43" t="n">
        <v>0</v>
      </c>
      <c r="F101" s="39" t="n">
        <v>0</v>
      </c>
      <c r="G101" s="39" t="n">
        <v>0</v>
      </c>
      <c r="H101" s="39"/>
      <c r="I101" s="39"/>
      <c r="J101" s="39"/>
      <c r="K101" s="39"/>
      <c r="L101" s="39"/>
      <c r="M101" s="39"/>
    </row>
    <row r="102" customFormat="false" ht="18" hidden="false" customHeight="true" outlineLevel="0" collapsed="false">
      <c r="A102" s="39"/>
      <c r="B102" s="40" t="n">
        <v>46208</v>
      </c>
      <c r="C102" s="41" t="s">
        <v>52</v>
      </c>
      <c r="D102" s="42" t="s">
        <v>129</v>
      </c>
      <c r="E102" s="43" t="n">
        <v>0</v>
      </c>
      <c r="F102" s="39" t="n">
        <v>0</v>
      </c>
      <c r="G102" s="39" t="n">
        <v>0</v>
      </c>
      <c r="H102" s="39"/>
      <c r="I102" s="39"/>
      <c r="J102" s="39"/>
      <c r="K102" s="39"/>
      <c r="L102" s="39"/>
      <c r="M102" s="39"/>
    </row>
    <row r="103" customFormat="false" ht="18" hidden="false" customHeight="true" outlineLevel="0" collapsed="false">
      <c r="A103" s="44" t="n">
        <v>66</v>
      </c>
      <c r="B103" s="45" t="n">
        <v>46209</v>
      </c>
      <c r="C103" s="46" t="s">
        <v>46</v>
      </c>
      <c r="D103" s="47" t="s">
        <v>195</v>
      </c>
      <c r="E103" s="48" t="n">
        <v>4</v>
      </c>
      <c r="F103" s="26" t="n">
        <f aca="false">'Norms &amp; Assumptions'!B33*E103</f>
        <v>600</v>
      </c>
      <c r="G103" s="27" t="n">
        <f aca="false">'Norms &amp; Assumptions'!B35*E103</f>
        <v>0.72</v>
      </c>
      <c r="H103" s="28"/>
      <c r="I103" s="29"/>
      <c r="J103" s="30" t="str">
        <f aca="false">IF(H103="","",H103-F103)</f>
        <v/>
      </c>
      <c r="K103" s="31" t="str">
        <f aca="false">IF(I103="","",I103-G103)</f>
        <v/>
      </c>
      <c r="L103" s="32" t="str">
        <f aca="false">IF(OR(H103="",F103=0),"",H103/F103)</f>
        <v/>
      </c>
      <c r="M103" s="33"/>
    </row>
    <row r="104" customFormat="false" ht="18" hidden="false" customHeight="true" outlineLevel="0" collapsed="false">
      <c r="A104" s="44" t="n">
        <v>67</v>
      </c>
      <c r="B104" s="45" t="n">
        <v>46210</v>
      </c>
      <c r="C104" s="46" t="s">
        <v>50</v>
      </c>
      <c r="D104" s="47" t="s">
        <v>196</v>
      </c>
      <c r="E104" s="48" t="n">
        <v>4</v>
      </c>
      <c r="F104" s="26" t="n">
        <f aca="false">'Norms &amp; Assumptions'!B33*E104</f>
        <v>600</v>
      </c>
      <c r="G104" s="27" t="n">
        <f aca="false">'Norms &amp; Assumptions'!B35*E104</f>
        <v>0.72</v>
      </c>
      <c r="H104" s="28"/>
      <c r="I104" s="29"/>
      <c r="J104" s="30" t="str">
        <f aca="false">IF(H104="","",H104-F104)</f>
        <v/>
      </c>
      <c r="K104" s="31" t="str">
        <f aca="false">IF(I104="","",I104-G104)</f>
        <v/>
      </c>
      <c r="L104" s="32" t="str">
        <f aca="false">IF(OR(H104="",F104=0),"",H104/F104)</f>
        <v/>
      </c>
      <c r="M104" s="33"/>
    </row>
    <row r="105" customFormat="false" ht="18" hidden="false" customHeight="true" outlineLevel="0" collapsed="false">
      <c r="A105" s="44" t="n">
        <v>68</v>
      </c>
      <c r="B105" s="45" t="n">
        <v>46211</v>
      </c>
      <c r="C105" s="46" t="s">
        <v>55</v>
      </c>
      <c r="D105" s="47" t="s">
        <v>197</v>
      </c>
      <c r="E105" s="48" t="n">
        <v>4</v>
      </c>
      <c r="F105" s="26" t="n">
        <f aca="false">'Norms &amp; Assumptions'!B33*E105</f>
        <v>600</v>
      </c>
      <c r="G105" s="27" t="n">
        <f aca="false">'Norms &amp; Assumptions'!B35*E105</f>
        <v>0.72</v>
      </c>
      <c r="H105" s="28"/>
      <c r="I105" s="29"/>
      <c r="J105" s="30" t="str">
        <f aca="false">IF(H105="","",H105-F105)</f>
        <v/>
      </c>
      <c r="K105" s="31" t="str">
        <f aca="false">IF(I105="","",I105-G105)</f>
        <v/>
      </c>
      <c r="L105" s="32" t="str">
        <f aca="false">IF(OR(H105="",F105=0),"",H105/F105)</f>
        <v/>
      </c>
      <c r="M105" s="33"/>
    </row>
    <row r="106" customFormat="false" ht="18" hidden="false" customHeight="true" outlineLevel="0" collapsed="false">
      <c r="A106" s="44" t="n">
        <v>69</v>
      </c>
      <c r="B106" s="45" t="n">
        <v>46212</v>
      </c>
      <c r="C106" s="46" t="s">
        <v>38</v>
      </c>
      <c r="D106" s="47" t="s">
        <v>198</v>
      </c>
      <c r="E106" s="48" t="n">
        <v>4</v>
      </c>
      <c r="F106" s="26" t="n">
        <f aca="false">'Norms &amp; Assumptions'!B33*E106</f>
        <v>600</v>
      </c>
      <c r="G106" s="27" t="n">
        <f aca="false">'Norms &amp; Assumptions'!B35*E106</f>
        <v>0.72</v>
      </c>
      <c r="H106" s="28"/>
      <c r="I106" s="29"/>
      <c r="J106" s="30" t="str">
        <f aca="false">IF(H106="","",H106-F106)</f>
        <v/>
      </c>
      <c r="K106" s="31" t="str">
        <f aca="false">IF(I106="","",I106-G106)</f>
        <v/>
      </c>
      <c r="L106" s="32" t="str">
        <f aca="false">IF(OR(H106="",F106=0),"",H106/F106)</f>
        <v/>
      </c>
      <c r="M106" s="33"/>
    </row>
    <row r="107" customFormat="false" ht="18" hidden="false" customHeight="true" outlineLevel="0" collapsed="false">
      <c r="A107" s="44" t="n">
        <v>70</v>
      </c>
      <c r="B107" s="45" t="n">
        <v>46213</v>
      </c>
      <c r="C107" s="46" t="s">
        <v>43</v>
      </c>
      <c r="D107" s="47" t="s">
        <v>199</v>
      </c>
      <c r="E107" s="48" t="n">
        <v>4</v>
      </c>
      <c r="F107" s="26" t="n">
        <f aca="false">'Norms &amp; Assumptions'!B33*E107</f>
        <v>600</v>
      </c>
      <c r="G107" s="27" t="n">
        <f aca="false">'Norms &amp; Assumptions'!B35*E107</f>
        <v>0.72</v>
      </c>
      <c r="H107" s="28"/>
      <c r="I107" s="29"/>
      <c r="J107" s="30" t="str">
        <f aca="false">IF(H107="","",H107-F107)</f>
        <v/>
      </c>
      <c r="K107" s="31" t="str">
        <f aca="false">IF(I107="","",I107-G107)</f>
        <v/>
      </c>
      <c r="L107" s="32" t="str">
        <f aca="false">IF(OR(H107="",F107=0),"",H107/F107)</f>
        <v/>
      </c>
      <c r="M107" s="33"/>
    </row>
    <row r="108" customFormat="false" ht="18" hidden="false" customHeight="true" outlineLevel="0" collapsed="false">
      <c r="A108" s="39"/>
      <c r="B108" s="40" t="n">
        <v>46214</v>
      </c>
      <c r="C108" s="41" t="s">
        <v>41</v>
      </c>
      <c r="D108" s="42" t="s">
        <v>129</v>
      </c>
      <c r="E108" s="43" t="n">
        <v>0</v>
      </c>
      <c r="F108" s="39" t="n">
        <v>0</v>
      </c>
      <c r="G108" s="39" t="n">
        <v>0</v>
      </c>
      <c r="H108" s="39"/>
      <c r="I108" s="39"/>
      <c r="J108" s="39"/>
      <c r="K108" s="39"/>
      <c r="L108" s="39"/>
      <c r="M108" s="39"/>
    </row>
    <row r="109" customFormat="false" ht="18" hidden="false" customHeight="true" outlineLevel="0" collapsed="false">
      <c r="A109" s="39"/>
      <c r="B109" s="40" t="n">
        <v>46215</v>
      </c>
      <c r="C109" s="41" t="s">
        <v>52</v>
      </c>
      <c r="D109" s="42" t="s">
        <v>129</v>
      </c>
      <c r="E109" s="43" t="n">
        <v>0</v>
      </c>
      <c r="F109" s="39" t="n">
        <v>0</v>
      </c>
      <c r="G109" s="39" t="n">
        <v>0</v>
      </c>
      <c r="H109" s="39"/>
      <c r="I109" s="39"/>
      <c r="J109" s="39"/>
      <c r="K109" s="39"/>
      <c r="L109" s="39"/>
      <c r="M109" s="39"/>
    </row>
    <row r="110" customFormat="false" ht="18" hidden="false" customHeight="true" outlineLevel="0" collapsed="false">
      <c r="A110" s="44" t="n">
        <v>71</v>
      </c>
      <c r="B110" s="45" t="n">
        <v>46216</v>
      </c>
      <c r="C110" s="46" t="s">
        <v>46</v>
      </c>
      <c r="D110" s="47" t="s">
        <v>200</v>
      </c>
      <c r="E110" s="48" t="n">
        <v>4</v>
      </c>
      <c r="F110" s="26" t="n">
        <f aca="false">'Norms &amp; Assumptions'!B33*E110</f>
        <v>600</v>
      </c>
      <c r="G110" s="27" t="n">
        <f aca="false">'Norms &amp; Assumptions'!B35*E110</f>
        <v>0.72</v>
      </c>
      <c r="H110" s="28"/>
      <c r="I110" s="29"/>
      <c r="J110" s="30" t="str">
        <f aca="false">IF(H110="","",H110-F110)</f>
        <v/>
      </c>
      <c r="K110" s="31" t="str">
        <f aca="false">IF(I110="","",I110-G110)</f>
        <v/>
      </c>
      <c r="L110" s="32" t="str">
        <f aca="false">IF(OR(H110="",F110=0),"",H110/F110)</f>
        <v/>
      </c>
      <c r="M110" s="33"/>
    </row>
    <row r="111" customFormat="false" ht="18" hidden="false" customHeight="true" outlineLevel="0" collapsed="false">
      <c r="A111" s="44" t="n">
        <v>72</v>
      </c>
      <c r="B111" s="45" t="n">
        <v>46217</v>
      </c>
      <c r="C111" s="46" t="s">
        <v>50</v>
      </c>
      <c r="D111" s="47" t="s">
        <v>201</v>
      </c>
      <c r="E111" s="48" t="n">
        <v>4</v>
      </c>
      <c r="F111" s="26" t="n">
        <f aca="false">'Norms &amp; Assumptions'!B33*E111</f>
        <v>600</v>
      </c>
      <c r="G111" s="27" t="n">
        <f aca="false">'Norms &amp; Assumptions'!B35*E111</f>
        <v>0.72</v>
      </c>
      <c r="H111" s="28"/>
      <c r="I111" s="29"/>
      <c r="J111" s="30" t="str">
        <f aca="false">IF(H111="","",H111-F111)</f>
        <v/>
      </c>
      <c r="K111" s="31" t="str">
        <f aca="false">IF(I111="","",I111-G111)</f>
        <v/>
      </c>
      <c r="L111" s="32" t="str">
        <f aca="false">IF(OR(H111="",F111=0),"",H111/F111)</f>
        <v/>
      </c>
      <c r="M111" s="33"/>
    </row>
    <row r="112" customFormat="false" ht="18" hidden="false" customHeight="true" outlineLevel="0" collapsed="false">
      <c r="A112" s="44" t="n">
        <v>73</v>
      </c>
      <c r="B112" s="45" t="n">
        <v>46218</v>
      </c>
      <c r="C112" s="46" t="s">
        <v>55</v>
      </c>
      <c r="D112" s="47" t="s">
        <v>202</v>
      </c>
      <c r="E112" s="48" t="n">
        <v>4</v>
      </c>
      <c r="F112" s="26" t="n">
        <f aca="false">'Norms &amp; Assumptions'!B33*E112</f>
        <v>600</v>
      </c>
      <c r="G112" s="27" t="n">
        <f aca="false">'Norms &amp; Assumptions'!B35*E112</f>
        <v>0.72</v>
      </c>
      <c r="H112" s="28"/>
      <c r="I112" s="29"/>
      <c r="J112" s="30" t="str">
        <f aca="false">IF(H112="","",H112-F112)</f>
        <v/>
      </c>
      <c r="K112" s="31" t="str">
        <f aca="false">IF(I112="","",I112-G112)</f>
        <v/>
      </c>
      <c r="L112" s="32" t="str">
        <f aca="false">IF(OR(H112="",F112=0),"",H112/F112)</f>
        <v/>
      </c>
      <c r="M112" s="33"/>
    </row>
    <row r="113" customFormat="false" ht="18" hidden="false" customHeight="true" outlineLevel="0" collapsed="false">
      <c r="A113" s="44" t="n">
        <v>74</v>
      </c>
      <c r="B113" s="45" t="n">
        <v>46219</v>
      </c>
      <c r="C113" s="46" t="s">
        <v>38</v>
      </c>
      <c r="D113" s="47" t="s">
        <v>203</v>
      </c>
      <c r="E113" s="48" t="n">
        <v>4</v>
      </c>
      <c r="F113" s="26" t="n">
        <f aca="false">'Norms &amp; Assumptions'!B33*E113</f>
        <v>600</v>
      </c>
      <c r="G113" s="27" t="n">
        <f aca="false">'Norms &amp; Assumptions'!B35*E113</f>
        <v>0.72</v>
      </c>
      <c r="H113" s="28"/>
      <c r="I113" s="29"/>
      <c r="J113" s="30" t="str">
        <f aca="false">IF(H113="","",H113-F113)</f>
        <v/>
      </c>
      <c r="K113" s="31" t="str">
        <f aca="false">IF(I113="","",I113-G113)</f>
        <v/>
      </c>
      <c r="L113" s="32" t="str">
        <f aca="false">IF(OR(H113="",F113=0),"",H113/F113)</f>
        <v/>
      </c>
      <c r="M113" s="33"/>
    </row>
    <row r="114" customFormat="false" ht="18" hidden="false" customHeight="true" outlineLevel="0" collapsed="false">
      <c r="A114" s="44" t="n">
        <v>75</v>
      </c>
      <c r="B114" s="45" t="n">
        <v>46220</v>
      </c>
      <c r="C114" s="46" t="s">
        <v>43</v>
      </c>
      <c r="D114" s="47" t="s">
        <v>204</v>
      </c>
      <c r="E114" s="48" t="n">
        <v>4</v>
      </c>
      <c r="F114" s="26" t="n">
        <f aca="false">'Norms &amp; Assumptions'!B33*E114</f>
        <v>600</v>
      </c>
      <c r="G114" s="27" t="n">
        <f aca="false">'Norms &amp; Assumptions'!B35*E114</f>
        <v>0.72</v>
      </c>
      <c r="H114" s="28"/>
      <c r="I114" s="29"/>
      <c r="J114" s="30" t="str">
        <f aca="false">IF(H114="","",H114-F114)</f>
        <v/>
      </c>
      <c r="K114" s="31" t="str">
        <f aca="false">IF(I114="","",I114-G114)</f>
        <v/>
      </c>
      <c r="L114" s="32" t="str">
        <f aca="false">IF(OR(H114="",F114=0),"",H114/F114)</f>
        <v/>
      </c>
      <c r="M114" s="33"/>
    </row>
    <row r="115" customFormat="false" ht="18" hidden="false" customHeight="true" outlineLevel="0" collapsed="false">
      <c r="A115" s="39"/>
      <c r="B115" s="40" t="n">
        <v>46221</v>
      </c>
      <c r="C115" s="41" t="s">
        <v>41</v>
      </c>
      <c r="D115" s="42" t="s">
        <v>129</v>
      </c>
      <c r="E115" s="43" t="n">
        <v>0</v>
      </c>
      <c r="F115" s="39" t="n">
        <v>0</v>
      </c>
      <c r="G115" s="39" t="n">
        <v>0</v>
      </c>
      <c r="H115" s="39"/>
      <c r="I115" s="39"/>
      <c r="J115" s="39"/>
      <c r="K115" s="39"/>
      <c r="L115" s="39"/>
      <c r="M115" s="39"/>
    </row>
    <row r="116" customFormat="false" ht="18" hidden="false" customHeight="true" outlineLevel="0" collapsed="false">
      <c r="A116" s="39"/>
      <c r="B116" s="40" t="n">
        <v>46222</v>
      </c>
      <c r="C116" s="41" t="s">
        <v>52</v>
      </c>
      <c r="D116" s="42" t="s">
        <v>129</v>
      </c>
      <c r="E116" s="43" t="n">
        <v>0</v>
      </c>
      <c r="F116" s="39" t="n">
        <v>0</v>
      </c>
      <c r="G116" s="39" t="n">
        <v>0</v>
      </c>
      <c r="H116" s="39"/>
      <c r="I116" s="39"/>
      <c r="J116" s="39"/>
      <c r="K116" s="39"/>
      <c r="L116" s="39"/>
      <c r="M116" s="39"/>
    </row>
    <row r="117" customFormat="false" ht="18" hidden="false" customHeight="true" outlineLevel="0" collapsed="false">
      <c r="A117" s="44" t="n">
        <v>76</v>
      </c>
      <c r="B117" s="45" t="n">
        <v>46223</v>
      </c>
      <c r="C117" s="46" t="s">
        <v>46</v>
      </c>
      <c r="D117" s="47" t="s">
        <v>205</v>
      </c>
      <c r="E117" s="48" t="n">
        <v>4</v>
      </c>
      <c r="F117" s="26" t="n">
        <f aca="false">'Norms &amp; Assumptions'!B33*E117</f>
        <v>600</v>
      </c>
      <c r="G117" s="27" t="n">
        <f aca="false">'Norms &amp; Assumptions'!B35*E117</f>
        <v>0.72</v>
      </c>
      <c r="H117" s="28"/>
      <c r="I117" s="29"/>
      <c r="J117" s="30" t="str">
        <f aca="false">IF(H117="","",H117-F117)</f>
        <v/>
      </c>
      <c r="K117" s="31" t="str">
        <f aca="false">IF(I117="","",I117-G117)</f>
        <v/>
      </c>
      <c r="L117" s="32" t="str">
        <f aca="false">IF(OR(H117="",F117=0),"",H117/F117)</f>
        <v/>
      </c>
      <c r="M117" s="33"/>
    </row>
    <row r="118" customFormat="false" ht="18" hidden="false" customHeight="true" outlineLevel="0" collapsed="false">
      <c r="A118" s="44" t="n">
        <v>77</v>
      </c>
      <c r="B118" s="45" t="n">
        <v>46224</v>
      </c>
      <c r="C118" s="46" t="s">
        <v>50</v>
      </c>
      <c r="D118" s="47" t="s">
        <v>206</v>
      </c>
      <c r="E118" s="48" t="n">
        <v>4</v>
      </c>
      <c r="F118" s="26" t="n">
        <f aca="false">'Norms &amp; Assumptions'!B33*E118</f>
        <v>600</v>
      </c>
      <c r="G118" s="27" t="n">
        <f aca="false">'Norms &amp; Assumptions'!B35*E118</f>
        <v>0.72</v>
      </c>
      <c r="H118" s="28"/>
      <c r="I118" s="29"/>
      <c r="J118" s="30" t="str">
        <f aca="false">IF(H118="","",H118-F118)</f>
        <v/>
      </c>
      <c r="K118" s="31" t="str">
        <f aca="false">IF(I118="","",I118-G118)</f>
        <v/>
      </c>
      <c r="L118" s="32" t="str">
        <f aca="false">IF(OR(H118="",F118=0),"",H118/F118)</f>
        <v/>
      </c>
      <c r="M118" s="33"/>
    </row>
    <row r="119" customFormat="false" ht="18" hidden="false" customHeight="true" outlineLevel="0" collapsed="false">
      <c r="A119" s="44" t="n">
        <v>78</v>
      </c>
      <c r="B119" s="45" t="n">
        <v>46225</v>
      </c>
      <c r="C119" s="46" t="s">
        <v>55</v>
      </c>
      <c r="D119" s="47" t="s">
        <v>207</v>
      </c>
      <c r="E119" s="48" t="n">
        <v>4</v>
      </c>
      <c r="F119" s="26" t="n">
        <f aca="false">'Norms &amp; Assumptions'!B33*E119</f>
        <v>600</v>
      </c>
      <c r="G119" s="27" t="n">
        <f aca="false">'Norms &amp; Assumptions'!B35*E119</f>
        <v>0.72</v>
      </c>
      <c r="H119" s="28"/>
      <c r="I119" s="29"/>
      <c r="J119" s="30" t="str">
        <f aca="false">IF(H119="","",H119-F119)</f>
        <v/>
      </c>
      <c r="K119" s="31" t="str">
        <f aca="false">IF(I119="","",I119-G119)</f>
        <v/>
      </c>
      <c r="L119" s="32" t="str">
        <f aca="false">IF(OR(H119="",F119=0),"",H119/F119)</f>
        <v/>
      </c>
      <c r="M119" s="33"/>
    </row>
    <row r="120" customFormat="false" ht="18" hidden="false" customHeight="true" outlineLevel="0" collapsed="false">
      <c r="A120" s="44" t="n">
        <v>79</v>
      </c>
      <c r="B120" s="45" t="n">
        <v>46226</v>
      </c>
      <c r="C120" s="46" t="s">
        <v>38</v>
      </c>
      <c r="D120" s="47" t="s">
        <v>208</v>
      </c>
      <c r="E120" s="48" t="n">
        <v>4</v>
      </c>
      <c r="F120" s="26" t="n">
        <f aca="false">'Norms &amp; Assumptions'!B33*E120</f>
        <v>600</v>
      </c>
      <c r="G120" s="27" t="n">
        <f aca="false">'Norms &amp; Assumptions'!B35*E120</f>
        <v>0.72</v>
      </c>
      <c r="H120" s="28"/>
      <c r="I120" s="29"/>
      <c r="J120" s="30" t="str">
        <f aca="false">IF(H120="","",H120-F120)</f>
        <v/>
      </c>
      <c r="K120" s="31" t="str">
        <f aca="false">IF(I120="","",I120-G120)</f>
        <v/>
      </c>
      <c r="L120" s="32" t="str">
        <f aca="false">IF(OR(H120="",F120=0),"",H120/F120)</f>
        <v/>
      </c>
      <c r="M120" s="33"/>
    </row>
    <row r="121" customFormat="false" ht="18" hidden="false" customHeight="true" outlineLevel="0" collapsed="false">
      <c r="A121" s="44" t="n">
        <v>80</v>
      </c>
      <c r="B121" s="45" t="n">
        <v>46227</v>
      </c>
      <c r="C121" s="46" t="s">
        <v>43</v>
      </c>
      <c r="D121" s="47" t="s">
        <v>209</v>
      </c>
      <c r="E121" s="48" t="n">
        <v>4</v>
      </c>
      <c r="F121" s="26" t="n">
        <f aca="false">'Norms &amp; Assumptions'!B33*E121</f>
        <v>600</v>
      </c>
      <c r="G121" s="27" t="n">
        <f aca="false">'Norms &amp; Assumptions'!B35*E121</f>
        <v>0.72</v>
      </c>
      <c r="H121" s="28"/>
      <c r="I121" s="29"/>
      <c r="J121" s="30" t="str">
        <f aca="false">IF(H121="","",H121-F121)</f>
        <v/>
      </c>
      <c r="K121" s="31" t="str">
        <f aca="false">IF(I121="","",I121-G121)</f>
        <v/>
      </c>
      <c r="L121" s="32" t="str">
        <f aca="false">IF(OR(H121="",F121=0),"",H121/F121)</f>
        <v/>
      </c>
      <c r="M121" s="33"/>
    </row>
    <row r="122" customFormat="false" ht="18" hidden="false" customHeight="true" outlineLevel="0" collapsed="false">
      <c r="A122" s="39"/>
      <c r="B122" s="40" t="n">
        <v>46228</v>
      </c>
      <c r="C122" s="41" t="s">
        <v>41</v>
      </c>
      <c r="D122" s="42" t="s">
        <v>129</v>
      </c>
      <c r="E122" s="43" t="n">
        <v>0</v>
      </c>
      <c r="F122" s="39" t="n">
        <v>0</v>
      </c>
      <c r="G122" s="39" t="n">
        <v>0</v>
      </c>
      <c r="H122" s="39"/>
      <c r="I122" s="39"/>
      <c r="J122" s="39"/>
      <c r="K122" s="39"/>
      <c r="L122" s="39"/>
      <c r="M122" s="39"/>
    </row>
    <row r="123" customFormat="false" ht="18" hidden="false" customHeight="true" outlineLevel="0" collapsed="false">
      <c r="A123" s="39"/>
      <c r="B123" s="40" t="n">
        <v>46229</v>
      </c>
      <c r="C123" s="41" t="s">
        <v>52</v>
      </c>
      <c r="D123" s="42" t="s">
        <v>129</v>
      </c>
      <c r="E123" s="43" t="n">
        <v>0</v>
      </c>
      <c r="F123" s="39" t="n">
        <v>0</v>
      </c>
      <c r="G123" s="39" t="n">
        <v>0</v>
      </c>
      <c r="H123" s="39"/>
      <c r="I123" s="39"/>
      <c r="J123" s="39"/>
      <c r="K123" s="39"/>
      <c r="L123" s="39"/>
      <c r="M123" s="39"/>
    </row>
    <row r="124" customFormat="false" ht="18" hidden="false" customHeight="true" outlineLevel="0" collapsed="false">
      <c r="A124" s="44" t="n">
        <v>81</v>
      </c>
      <c r="B124" s="45" t="n">
        <v>46230</v>
      </c>
      <c r="C124" s="46" t="s">
        <v>46</v>
      </c>
      <c r="D124" s="47" t="s">
        <v>210</v>
      </c>
      <c r="E124" s="48" t="n">
        <v>4</v>
      </c>
      <c r="F124" s="26" t="n">
        <f aca="false">'Norms &amp; Assumptions'!B33*E124</f>
        <v>600</v>
      </c>
      <c r="G124" s="27" t="n">
        <f aca="false">'Norms &amp; Assumptions'!B35*E124</f>
        <v>0.72</v>
      </c>
      <c r="H124" s="28"/>
      <c r="I124" s="29"/>
      <c r="J124" s="30" t="str">
        <f aca="false">IF(H124="","",H124-F124)</f>
        <v/>
      </c>
      <c r="K124" s="31" t="str">
        <f aca="false">IF(I124="","",I124-G124)</f>
        <v/>
      </c>
      <c r="L124" s="32" t="str">
        <f aca="false">IF(OR(H124="",F124=0),"",H124/F124)</f>
        <v/>
      </c>
      <c r="M124" s="33"/>
    </row>
    <row r="125" customFormat="false" ht="18" hidden="false" customHeight="true" outlineLevel="0" collapsed="false">
      <c r="A125" s="44" t="n">
        <v>82</v>
      </c>
      <c r="B125" s="45" t="n">
        <v>46231</v>
      </c>
      <c r="C125" s="46" t="s">
        <v>50</v>
      </c>
      <c r="D125" s="47" t="s">
        <v>211</v>
      </c>
      <c r="E125" s="48" t="n">
        <v>4</v>
      </c>
      <c r="F125" s="26" t="n">
        <f aca="false">'Norms &amp; Assumptions'!B33*E125</f>
        <v>600</v>
      </c>
      <c r="G125" s="27" t="n">
        <f aca="false">'Norms &amp; Assumptions'!B35*E125</f>
        <v>0.72</v>
      </c>
      <c r="H125" s="28"/>
      <c r="I125" s="29"/>
      <c r="J125" s="30" t="str">
        <f aca="false">IF(H125="","",H125-F125)</f>
        <v/>
      </c>
      <c r="K125" s="31" t="str">
        <f aca="false">IF(I125="","",I125-G125)</f>
        <v/>
      </c>
      <c r="L125" s="32" t="str">
        <f aca="false">IF(OR(H125="",F125=0),"",H125/F125)</f>
        <v/>
      </c>
      <c r="M125" s="33"/>
    </row>
    <row r="126" customFormat="false" ht="18" hidden="false" customHeight="true" outlineLevel="0" collapsed="false">
      <c r="A126" s="44" t="n">
        <v>83</v>
      </c>
      <c r="B126" s="45" t="n">
        <v>46232</v>
      </c>
      <c r="C126" s="46" t="s">
        <v>55</v>
      </c>
      <c r="D126" s="47" t="s">
        <v>212</v>
      </c>
      <c r="E126" s="48" t="n">
        <v>4</v>
      </c>
      <c r="F126" s="26" t="n">
        <f aca="false">'Norms &amp; Assumptions'!B33*E126</f>
        <v>600</v>
      </c>
      <c r="G126" s="27" t="n">
        <f aca="false">'Norms &amp; Assumptions'!B35*E126</f>
        <v>0.72</v>
      </c>
      <c r="H126" s="28"/>
      <c r="I126" s="29"/>
      <c r="J126" s="30" t="str">
        <f aca="false">IF(H126="","",H126-F126)</f>
        <v/>
      </c>
      <c r="K126" s="31" t="str">
        <f aca="false">IF(I126="","",I126-G126)</f>
        <v/>
      </c>
      <c r="L126" s="32" t="str">
        <f aca="false">IF(OR(H126="",F126=0),"",H126/F126)</f>
        <v/>
      </c>
      <c r="M126" s="33"/>
    </row>
    <row r="127" customFormat="false" ht="18" hidden="false" customHeight="true" outlineLevel="0" collapsed="false">
      <c r="A127" s="44" t="n">
        <v>84</v>
      </c>
      <c r="B127" s="45" t="n">
        <v>46233</v>
      </c>
      <c r="C127" s="46" t="s">
        <v>38</v>
      </c>
      <c r="D127" s="47" t="s">
        <v>213</v>
      </c>
      <c r="E127" s="48" t="n">
        <v>4</v>
      </c>
      <c r="F127" s="26" t="n">
        <f aca="false">'Norms &amp; Assumptions'!B33*E127</f>
        <v>600</v>
      </c>
      <c r="G127" s="27" t="n">
        <f aca="false">'Norms &amp; Assumptions'!B35*E127</f>
        <v>0.72</v>
      </c>
      <c r="H127" s="28"/>
      <c r="I127" s="29"/>
      <c r="J127" s="30" t="str">
        <f aca="false">IF(H127="","",H127-F127)</f>
        <v/>
      </c>
      <c r="K127" s="31" t="str">
        <f aca="false">IF(I127="","",I127-G127)</f>
        <v/>
      </c>
      <c r="L127" s="32" t="str">
        <f aca="false">IF(OR(H127="",F127=0),"",H127/F127)</f>
        <v/>
      </c>
      <c r="M127" s="33"/>
    </row>
    <row r="128" customFormat="false" ht="18" hidden="false" customHeight="true" outlineLevel="0" collapsed="false">
      <c r="A128" s="44" t="n">
        <v>85</v>
      </c>
      <c r="B128" s="45" t="n">
        <v>46234</v>
      </c>
      <c r="C128" s="46" t="s">
        <v>43</v>
      </c>
      <c r="D128" s="47" t="s">
        <v>214</v>
      </c>
      <c r="E128" s="48" t="n">
        <v>4</v>
      </c>
      <c r="F128" s="26" t="n">
        <f aca="false">'Norms &amp; Assumptions'!B33*E128</f>
        <v>600</v>
      </c>
      <c r="G128" s="27" t="n">
        <f aca="false">'Norms &amp; Assumptions'!B35*E128</f>
        <v>0.72</v>
      </c>
      <c r="H128" s="28"/>
      <c r="I128" s="29"/>
      <c r="J128" s="30" t="str">
        <f aca="false">IF(H128="","",H128-F128)</f>
        <v/>
      </c>
      <c r="K128" s="31" t="str">
        <f aca="false">IF(I128="","",I128-G128)</f>
        <v/>
      </c>
      <c r="L128" s="32" t="str">
        <f aca="false">IF(OR(H128="",F128=0),"",H128/F128)</f>
        <v/>
      </c>
      <c r="M128" s="33"/>
    </row>
    <row r="129" customFormat="false" ht="18" hidden="false" customHeight="true" outlineLevel="0" collapsed="false">
      <c r="A129" s="39"/>
      <c r="B129" s="40" t="n">
        <v>46235</v>
      </c>
      <c r="C129" s="41" t="s">
        <v>41</v>
      </c>
      <c r="D129" s="42" t="s">
        <v>129</v>
      </c>
      <c r="E129" s="43" t="n">
        <v>0</v>
      </c>
      <c r="F129" s="39" t="n">
        <v>0</v>
      </c>
      <c r="G129" s="39" t="n">
        <v>0</v>
      </c>
      <c r="H129" s="39"/>
      <c r="I129" s="39"/>
      <c r="J129" s="39"/>
      <c r="K129" s="39"/>
      <c r="L129" s="39"/>
      <c r="M129" s="39"/>
    </row>
    <row r="130" customFormat="false" ht="18" hidden="false" customHeight="true" outlineLevel="0" collapsed="false">
      <c r="A130" s="39"/>
      <c r="B130" s="40" t="n">
        <v>46236</v>
      </c>
      <c r="C130" s="41" t="s">
        <v>52</v>
      </c>
      <c r="D130" s="42" t="s">
        <v>129</v>
      </c>
      <c r="E130" s="43" t="n">
        <v>0</v>
      </c>
      <c r="F130" s="39" t="n">
        <v>0</v>
      </c>
      <c r="G130" s="39" t="n">
        <v>0</v>
      </c>
      <c r="H130" s="39"/>
      <c r="I130" s="39"/>
      <c r="J130" s="39"/>
      <c r="K130" s="39"/>
      <c r="L130" s="39"/>
      <c r="M130" s="39"/>
    </row>
    <row r="131" customFormat="false" ht="18" hidden="false" customHeight="true" outlineLevel="0" collapsed="false">
      <c r="A131" s="44" t="n">
        <v>86</v>
      </c>
      <c r="B131" s="45" t="n">
        <v>46237</v>
      </c>
      <c r="C131" s="46" t="s">
        <v>46</v>
      </c>
      <c r="D131" s="47" t="s">
        <v>215</v>
      </c>
      <c r="E131" s="48" t="n">
        <v>4</v>
      </c>
      <c r="F131" s="26" t="n">
        <f aca="false">'Norms &amp; Assumptions'!B33*E131</f>
        <v>600</v>
      </c>
      <c r="G131" s="27" t="n">
        <f aca="false">'Norms &amp; Assumptions'!B35*E131</f>
        <v>0.72</v>
      </c>
      <c r="H131" s="28"/>
      <c r="I131" s="29"/>
      <c r="J131" s="30" t="str">
        <f aca="false">IF(H131="","",H131-F131)</f>
        <v/>
      </c>
      <c r="K131" s="31" t="str">
        <f aca="false">IF(I131="","",I131-G131)</f>
        <v/>
      </c>
      <c r="L131" s="32" t="str">
        <f aca="false">IF(OR(H131="",F131=0),"",H131/F131)</f>
        <v/>
      </c>
      <c r="M131" s="33"/>
    </row>
    <row r="132" customFormat="false" ht="18" hidden="false" customHeight="true" outlineLevel="0" collapsed="false">
      <c r="A132" s="44" t="n">
        <v>87</v>
      </c>
      <c r="B132" s="45" t="n">
        <v>46238</v>
      </c>
      <c r="C132" s="46" t="s">
        <v>50</v>
      </c>
      <c r="D132" s="47" t="s">
        <v>216</v>
      </c>
      <c r="E132" s="48" t="n">
        <v>4</v>
      </c>
      <c r="F132" s="26" t="n">
        <f aca="false">'Norms &amp; Assumptions'!B33*E132</f>
        <v>600</v>
      </c>
      <c r="G132" s="27" t="n">
        <f aca="false">'Norms &amp; Assumptions'!B35*E132</f>
        <v>0.72</v>
      </c>
      <c r="H132" s="28"/>
      <c r="I132" s="29"/>
      <c r="J132" s="30" t="str">
        <f aca="false">IF(H132="","",H132-F132)</f>
        <v/>
      </c>
      <c r="K132" s="31" t="str">
        <f aca="false">IF(I132="","",I132-G132)</f>
        <v/>
      </c>
      <c r="L132" s="32" t="str">
        <f aca="false">IF(OR(H132="",F132=0),"",H132/F132)</f>
        <v/>
      </c>
      <c r="M132" s="33"/>
    </row>
    <row r="133" customFormat="false" ht="18" hidden="false" customHeight="true" outlineLevel="0" collapsed="false">
      <c r="A133" s="44" t="n">
        <v>88</v>
      </c>
      <c r="B133" s="45" t="n">
        <v>46239</v>
      </c>
      <c r="C133" s="46" t="s">
        <v>55</v>
      </c>
      <c r="D133" s="47" t="s">
        <v>217</v>
      </c>
      <c r="E133" s="48" t="n">
        <v>4</v>
      </c>
      <c r="F133" s="26" t="n">
        <f aca="false">'Norms &amp; Assumptions'!B33*E133</f>
        <v>600</v>
      </c>
      <c r="G133" s="27" t="n">
        <f aca="false">'Norms &amp; Assumptions'!B35*E133</f>
        <v>0.72</v>
      </c>
      <c r="H133" s="28"/>
      <c r="I133" s="29"/>
      <c r="J133" s="30" t="str">
        <f aca="false">IF(H133="","",H133-F133)</f>
        <v/>
      </c>
      <c r="K133" s="31" t="str">
        <f aca="false">IF(I133="","",I133-G133)</f>
        <v/>
      </c>
      <c r="L133" s="32" t="str">
        <f aca="false">IF(OR(H133="",F133=0),"",H133/F133)</f>
        <v/>
      </c>
      <c r="M133" s="33"/>
    </row>
    <row r="134" customFormat="false" ht="18" hidden="false" customHeight="true" outlineLevel="0" collapsed="false">
      <c r="A134" s="44" t="n">
        <v>89</v>
      </c>
      <c r="B134" s="45" t="n">
        <v>46240</v>
      </c>
      <c r="C134" s="46" t="s">
        <v>38</v>
      </c>
      <c r="D134" s="47" t="s">
        <v>218</v>
      </c>
      <c r="E134" s="48" t="n">
        <v>4</v>
      </c>
      <c r="F134" s="26" t="n">
        <f aca="false">'Norms &amp; Assumptions'!B33*E134</f>
        <v>600</v>
      </c>
      <c r="G134" s="27" t="n">
        <f aca="false">'Norms &amp; Assumptions'!B35*E134</f>
        <v>0.72</v>
      </c>
      <c r="H134" s="28"/>
      <c r="I134" s="29"/>
      <c r="J134" s="30" t="str">
        <f aca="false">IF(H134="","",H134-F134)</f>
        <v/>
      </c>
      <c r="K134" s="31" t="str">
        <f aca="false">IF(I134="","",I134-G134)</f>
        <v/>
      </c>
      <c r="L134" s="32" t="str">
        <f aca="false">IF(OR(H134="",F134=0),"",H134/F134)</f>
        <v/>
      </c>
      <c r="M134" s="33"/>
    </row>
    <row r="135" customFormat="false" ht="18" hidden="false" customHeight="true" outlineLevel="0" collapsed="false">
      <c r="A135" s="44" t="n">
        <v>90</v>
      </c>
      <c r="B135" s="45" t="n">
        <v>46241</v>
      </c>
      <c r="C135" s="46" t="s">
        <v>43</v>
      </c>
      <c r="D135" s="47" t="s">
        <v>219</v>
      </c>
      <c r="E135" s="48" t="n">
        <v>4</v>
      </c>
      <c r="F135" s="26" t="n">
        <f aca="false">'Norms &amp; Assumptions'!B33*E135</f>
        <v>600</v>
      </c>
      <c r="G135" s="27" t="n">
        <f aca="false">'Norms &amp; Assumptions'!B35*E135</f>
        <v>0.72</v>
      </c>
      <c r="H135" s="28"/>
      <c r="I135" s="29"/>
      <c r="J135" s="30" t="str">
        <f aca="false">IF(H135="","",H135-F135)</f>
        <v/>
      </c>
      <c r="K135" s="31" t="str">
        <f aca="false">IF(I135="","",I135-G135)</f>
        <v/>
      </c>
      <c r="L135" s="32" t="str">
        <f aca="false">IF(OR(H135="",F135=0),"",H135/F135)</f>
        <v/>
      </c>
      <c r="M135" s="33"/>
    </row>
    <row r="136" customFormat="false" ht="18" hidden="false" customHeight="true" outlineLevel="0" collapsed="false">
      <c r="A136" s="39"/>
      <c r="B136" s="40" t="n">
        <v>46242</v>
      </c>
      <c r="C136" s="41" t="s">
        <v>41</v>
      </c>
      <c r="D136" s="42" t="s">
        <v>129</v>
      </c>
      <c r="E136" s="43" t="n">
        <v>0</v>
      </c>
      <c r="F136" s="39" t="n">
        <v>0</v>
      </c>
      <c r="G136" s="39" t="n">
        <v>0</v>
      </c>
      <c r="H136" s="39"/>
      <c r="I136" s="39"/>
      <c r="J136" s="39"/>
      <c r="K136" s="39"/>
      <c r="L136" s="39"/>
      <c r="M136" s="39"/>
    </row>
    <row r="137" customFormat="false" ht="18" hidden="false" customHeight="true" outlineLevel="0" collapsed="false">
      <c r="A137" s="34"/>
      <c r="B137" s="35" t="n">
        <v>46243</v>
      </c>
      <c r="C137" s="36" t="s">
        <v>52</v>
      </c>
      <c r="D137" s="37" t="s">
        <v>220</v>
      </c>
      <c r="E137" s="38" t="n">
        <v>0</v>
      </c>
      <c r="F137" s="34" t="n">
        <v>0</v>
      </c>
      <c r="G137" s="34" t="n">
        <v>0</v>
      </c>
      <c r="H137" s="34"/>
      <c r="I137" s="34"/>
      <c r="J137" s="34"/>
      <c r="K137" s="34"/>
      <c r="L137" s="34"/>
      <c r="M137" s="34"/>
    </row>
    <row r="138" customFormat="false" ht="18" hidden="false" customHeight="true" outlineLevel="0" collapsed="false">
      <c r="A138" s="44" t="n">
        <v>91</v>
      </c>
      <c r="B138" s="45" t="n">
        <v>46244</v>
      </c>
      <c r="C138" s="46" t="s">
        <v>46</v>
      </c>
      <c r="D138" s="47" t="s">
        <v>221</v>
      </c>
      <c r="E138" s="48" t="n">
        <v>4</v>
      </c>
      <c r="F138" s="26" t="n">
        <f aca="false">'Norms &amp; Assumptions'!B33*E138</f>
        <v>600</v>
      </c>
      <c r="G138" s="27" t="n">
        <f aca="false">'Norms &amp; Assumptions'!B35*E138</f>
        <v>0.72</v>
      </c>
      <c r="H138" s="28"/>
      <c r="I138" s="29"/>
      <c r="J138" s="30" t="str">
        <f aca="false">IF(H138="","",H138-F138)</f>
        <v/>
      </c>
      <c r="K138" s="31" t="str">
        <f aca="false">IF(I138="","",I138-G138)</f>
        <v/>
      </c>
      <c r="L138" s="32" t="str">
        <f aca="false">IF(OR(H138="",F138=0),"",H138/F138)</f>
        <v/>
      </c>
      <c r="M138" s="33"/>
    </row>
    <row r="139" customFormat="false" ht="18" hidden="false" customHeight="true" outlineLevel="0" collapsed="false">
      <c r="A139" s="44" t="n">
        <v>92</v>
      </c>
      <c r="B139" s="45" t="n">
        <v>46245</v>
      </c>
      <c r="C139" s="46" t="s">
        <v>50</v>
      </c>
      <c r="D139" s="47" t="s">
        <v>222</v>
      </c>
      <c r="E139" s="48" t="n">
        <v>4</v>
      </c>
      <c r="F139" s="26" t="n">
        <f aca="false">'Norms &amp; Assumptions'!B33*E139</f>
        <v>600</v>
      </c>
      <c r="G139" s="27" t="n">
        <f aca="false">'Norms &amp; Assumptions'!B35*E139</f>
        <v>0.72</v>
      </c>
      <c r="H139" s="28"/>
      <c r="I139" s="29"/>
      <c r="J139" s="30" t="str">
        <f aca="false">IF(H139="","",H139-F139)</f>
        <v/>
      </c>
      <c r="K139" s="31" t="str">
        <f aca="false">IF(I139="","",I139-G139)</f>
        <v/>
      </c>
      <c r="L139" s="32" t="str">
        <f aca="false">IF(OR(H139="",F139=0),"",H139/F139)</f>
        <v/>
      </c>
      <c r="M139" s="33"/>
    </row>
    <row r="140" customFormat="false" ht="18" hidden="false" customHeight="true" outlineLevel="0" collapsed="false">
      <c r="A140" s="44" t="n">
        <v>93</v>
      </c>
      <c r="B140" s="45" t="n">
        <v>46246</v>
      </c>
      <c r="C140" s="46" t="s">
        <v>55</v>
      </c>
      <c r="D140" s="47" t="s">
        <v>223</v>
      </c>
      <c r="E140" s="48" t="n">
        <v>4</v>
      </c>
      <c r="F140" s="26" t="n">
        <f aca="false">'Norms &amp; Assumptions'!B33*E140</f>
        <v>600</v>
      </c>
      <c r="G140" s="27" t="n">
        <f aca="false">'Norms &amp; Assumptions'!B35*E140</f>
        <v>0.72</v>
      </c>
      <c r="H140" s="28"/>
      <c r="I140" s="29"/>
      <c r="J140" s="30" t="str">
        <f aca="false">IF(H140="","",H140-F140)</f>
        <v/>
      </c>
      <c r="K140" s="31" t="str">
        <f aca="false">IF(I140="","",I140-G140)</f>
        <v/>
      </c>
      <c r="L140" s="32" t="str">
        <f aca="false">IF(OR(H140="",F140=0),"",H140/F140)</f>
        <v/>
      </c>
      <c r="M140" s="33"/>
    </row>
    <row r="141" customFormat="false" ht="18" hidden="false" customHeight="true" outlineLevel="0" collapsed="false">
      <c r="A141" s="44" t="n">
        <v>94</v>
      </c>
      <c r="B141" s="45" t="n">
        <v>46247</v>
      </c>
      <c r="C141" s="46" t="s">
        <v>38</v>
      </c>
      <c r="D141" s="47" t="s">
        <v>224</v>
      </c>
      <c r="E141" s="48" t="n">
        <v>4</v>
      </c>
      <c r="F141" s="26" t="n">
        <f aca="false">'Norms &amp; Assumptions'!B33*E141</f>
        <v>600</v>
      </c>
      <c r="G141" s="27" t="n">
        <f aca="false">'Norms &amp; Assumptions'!B35*E141</f>
        <v>0.72</v>
      </c>
      <c r="H141" s="28"/>
      <c r="I141" s="29"/>
      <c r="J141" s="30" t="str">
        <f aca="false">IF(H141="","",H141-F141)</f>
        <v/>
      </c>
      <c r="K141" s="31" t="str">
        <f aca="false">IF(I141="","",I141-G141)</f>
        <v/>
      </c>
      <c r="L141" s="32" t="str">
        <f aca="false">IF(OR(H141="",F141=0),"",H141/F141)</f>
        <v/>
      </c>
      <c r="M141" s="33"/>
    </row>
    <row r="142" customFormat="false" ht="18" hidden="false" customHeight="true" outlineLevel="0" collapsed="false">
      <c r="A142" s="44" t="n">
        <v>95</v>
      </c>
      <c r="B142" s="45" t="n">
        <v>46248</v>
      </c>
      <c r="C142" s="46" t="s">
        <v>43</v>
      </c>
      <c r="D142" s="47" t="s">
        <v>225</v>
      </c>
      <c r="E142" s="48" t="n">
        <v>4</v>
      </c>
      <c r="F142" s="26" t="n">
        <f aca="false">'Norms &amp; Assumptions'!B33*E142</f>
        <v>600</v>
      </c>
      <c r="G142" s="27" t="n">
        <f aca="false">'Norms &amp; Assumptions'!B35*E142</f>
        <v>0.72</v>
      </c>
      <c r="H142" s="28"/>
      <c r="I142" s="29"/>
      <c r="J142" s="30" t="str">
        <f aca="false">IF(H142="","",H142-F142)</f>
        <v/>
      </c>
      <c r="K142" s="31" t="str">
        <f aca="false">IF(I142="","",I142-G142)</f>
        <v/>
      </c>
      <c r="L142" s="32" t="str">
        <f aca="false">IF(OR(H142="",F142=0),"",H142/F142)</f>
        <v/>
      </c>
      <c r="M142" s="33"/>
    </row>
    <row r="143" customFormat="false" ht="18" hidden="false" customHeight="true" outlineLevel="0" collapsed="false">
      <c r="A143" s="39"/>
      <c r="B143" s="40" t="n">
        <v>46249</v>
      </c>
      <c r="C143" s="41" t="s">
        <v>41</v>
      </c>
      <c r="D143" s="42" t="s">
        <v>129</v>
      </c>
      <c r="E143" s="43" t="n">
        <v>0</v>
      </c>
      <c r="F143" s="39" t="n">
        <v>0</v>
      </c>
      <c r="G143" s="39" t="n">
        <v>0</v>
      </c>
      <c r="H143" s="39"/>
      <c r="I143" s="39"/>
      <c r="J143" s="39"/>
      <c r="K143" s="39"/>
      <c r="L143" s="39"/>
      <c r="M143" s="39"/>
    </row>
    <row r="144" customFormat="false" ht="18" hidden="false" customHeight="true" outlineLevel="0" collapsed="false">
      <c r="A144" s="39"/>
      <c r="B144" s="40" t="n">
        <v>46250</v>
      </c>
      <c r="C144" s="41" t="s">
        <v>52</v>
      </c>
      <c r="D144" s="42" t="s">
        <v>129</v>
      </c>
      <c r="E144" s="43" t="n">
        <v>0</v>
      </c>
      <c r="F144" s="39" t="n">
        <v>0</v>
      </c>
      <c r="G144" s="39" t="n">
        <v>0</v>
      </c>
      <c r="H144" s="39"/>
      <c r="I144" s="39"/>
      <c r="J144" s="39"/>
      <c r="K144" s="39"/>
      <c r="L144" s="39"/>
      <c r="M144" s="39"/>
    </row>
    <row r="145" customFormat="false" ht="18" hidden="false" customHeight="true" outlineLevel="0" collapsed="false">
      <c r="A145" s="44" t="n">
        <v>96</v>
      </c>
      <c r="B145" s="45" t="n">
        <v>46251</v>
      </c>
      <c r="C145" s="46" t="s">
        <v>46</v>
      </c>
      <c r="D145" s="47" t="s">
        <v>226</v>
      </c>
      <c r="E145" s="48" t="n">
        <v>4</v>
      </c>
      <c r="F145" s="26" t="n">
        <f aca="false">'Norms &amp; Assumptions'!B33*E145</f>
        <v>600</v>
      </c>
      <c r="G145" s="27" t="n">
        <f aca="false">'Norms &amp; Assumptions'!B35*E145</f>
        <v>0.72</v>
      </c>
      <c r="H145" s="28"/>
      <c r="I145" s="29"/>
      <c r="J145" s="30" t="str">
        <f aca="false">IF(H145="","",H145-F145)</f>
        <v/>
      </c>
      <c r="K145" s="31" t="str">
        <f aca="false">IF(I145="","",I145-G145)</f>
        <v/>
      </c>
      <c r="L145" s="32" t="str">
        <f aca="false">IF(OR(H145="",F145=0),"",H145/F145)</f>
        <v/>
      </c>
      <c r="M145" s="33"/>
    </row>
    <row r="146" customFormat="false" ht="18" hidden="false" customHeight="true" outlineLevel="0" collapsed="false">
      <c r="A146" s="44" t="n">
        <v>97</v>
      </c>
      <c r="B146" s="45" t="n">
        <v>46252</v>
      </c>
      <c r="C146" s="46" t="s">
        <v>50</v>
      </c>
      <c r="D146" s="47" t="s">
        <v>227</v>
      </c>
      <c r="E146" s="48" t="n">
        <v>4</v>
      </c>
      <c r="F146" s="26" t="n">
        <f aca="false">'Norms &amp; Assumptions'!B33*E146</f>
        <v>600</v>
      </c>
      <c r="G146" s="27" t="n">
        <f aca="false">'Norms &amp; Assumptions'!B35*E146</f>
        <v>0.72</v>
      </c>
      <c r="H146" s="28"/>
      <c r="I146" s="29"/>
      <c r="J146" s="30" t="str">
        <f aca="false">IF(H146="","",H146-F146)</f>
        <v/>
      </c>
      <c r="K146" s="31" t="str">
        <f aca="false">IF(I146="","",I146-G146)</f>
        <v/>
      </c>
      <c r="L146" s="32" t="str">
        <f aca="false">IF(OR(H146="",F146=0),"",H146/F146)</f>
        <v/>
      </c>
      <c r="M146" s="33"/>
    </row>
    <row r="147" customFormat="false" ht="18" hidden="false" customHeight="true" outlineLevel="0" collapsed="false">
      <c r="A147" s="44" t="n">
        <v>98</v>
      </c>
      <c r="B147" s="45" t="n">
        <v>46253</v>
      </c>
      <c r="C147" s="46" t="s">
        <v>55</v>
      </c>
      <c r="D147" s="47" t="s">
        <v>228</v>
      </c>
      <c r="E147" s="48" t="n">
        <v>4</v>
      </c>
      <c r="F147" s="26" t="n">
        <f aca="false">'Norms &amp; Assumptions'!B33*E147</f>
        <v>600</v>
      </c>
      <c r="G147" s="27" t="n">
        <f aca="false">'Norms &amp; Assumptions'!B35*E147</f>
        <v>0.72</v>
      </c>
      <c r="H147" s="28"/>
      <c r="I147" s="29"/>
      <c r="J147" s="30" t="str">
        <f aca="false">IF(H147="","",H147-F147)</f>
        <v/>
      </c>
      <c r="K147" s="31" t="str">
        <f aca="false">IF(I147="","",I147-G147)</f>
        <v/>
      </c>
      <c r="L147" s="32" t="str">
        <f aca="false">IF(OR(H147="",F147=0),"",H147/F147)</f>
        <v/>
      </c>
      <c r="M147" s="33"/>
    </row>
    <row r="148" customFormat="false" ht="18" hidden="false" customHeight="true" outlineLevel="0" collapsed="false">
      <c r="A148" s="44" t="n">
        <v>99</v>
      </c>
      <c r="B148" s="45" t="n">
        <v>46254</v>
      </c>
      <c r="C148" s="46" t="s">
        <v>38</v>
      </c>
      <c r="D148" s="47" t="s">
        <v>229</v>
      </c>
      <c r="E148" s="48" t="n">
        <v>4</v>
      </c>
      <c r="F148" s="26" t="n">
        <f aca="false">'Norms &amp; Assumptions'!B33*E148</f>
        <v>600</v>
      </c>
      <c r="G148" s="27" t="n">
        <f aca="false">'Norms &amp; Assumptions'!B35*E148</f>
        <v>0.72</v>
      </c>
      <c r="H148" s="28"/>
      <c r="I148" s="29"/>
      <c r="J148" s="30" t="str">
        <f aca="false">IF(H148="","",H148-F148)</f>
        <v/>
      </c>
      <c r="K148" s="31" t="str">
        <f aca="false">IF(I148="","",I148-G148)</f>
        <v/>
      </c>
      <c r="L148" s="32" t="str">
        <f aca="false">IF(OR(H148="",F148=0),"",H148/F148)</f>
        <v/>
      </c>
      <c r="M148" s="33"/>
    </row>
    <row r="149" customFormat="false" ht="18" hidden="false" customHeight="true" outlineLevel="0" collapsed="false">
      <c r="A149" s="44" t="n">
        <v>100</v>
      </c>
      <c r="B149" s="45" t="n">
        <v>46255</v>
      </c>
      <c r="C149" s="46" t="s">
        <v>43</v>
      </c>
      <c r="D149" s="47" t="s">
        <v>230</v>
      </c>
      <c r="E149" s="48" t="n">
        <v>4</v>
      </c>
      <c r="F149" s="26" t="n">
        <f aca="false">'Norms &amp; Assumptions'!B33*E149</f>
        <v>600</v>
      </c>
      <c r="G149" s="27" t="n">
        <f aca="false">'Norms &amp; Assumptions'!B35*E149</f>
        <v>0.72</v>
      </c>
      <c r="H149" s="28"/>
      <c r="I149" s="29"/>
      <c r="J149" s="30" t="str">
        <f aca="false">IF(H149="","",H149-F149)</f>
        <v/>
      </c>
      <c r="K149" s="31" t="str">
        <f aca="false">IF(I149="","",I149-G149)</f>
        <v/>
      </c>
      <c r="L149" s="32" t="str">
        <f aca="false">IF(OR(H149="",F149=0),"",H149/F149)</f>
        <v/>
      </c>
      <c r="M149" s="33"/>
    </row>
    <row r="150" customFormat="false" ht="18" hidden="false" customHeight="true" outlineLevel="0" collapsed="false">
      <c r="A150" s="39"/>
      <c r="B150" s="40" t="n">
        <v>46256</v>
      </c>
      <c r="C150" s="41" t="s">
        <v>41</v>
      </c>
      <c r="D150" s="42" t="s">
        <v>129</v>
      </c>
      <c r="E150" s="43" t="n">
        <v>0</v>
      </c>
      <c r="F150" s="39" t="n">
        <v>0</v>
      </c>
      <c r="G150" s="39" t="n">
        <v>0</v>
      </c>
      <c r="H150" s="39"/>
      <c r="I150" s="39"/>
      <c r="J150" s="39"/>
      <c r="K150" s="39"/>
      <c r="L150" s="39"/>
      <c r="M150" s="39"/>
    </row>
    <row r="151" customFormat="false" ht="18" hidden="false" customHeight="true" outlineLevel="0" collapsed="false">
      <c r="A151" s="39"/>
      <c r="B151" s="40" t="n">
        <v>46257</v>
      </c>
      <c r="C151" s="41" t="s">
        <v>52</v>
      </c>
      <c r="D151" s="42" t="s">
        <v>129</v>
      </c>
      <c r="E151" s="43" t="n">
        <v>0</v>
      </c>
      <c r="F151" s="39" t="n">
        <v>0</v>
      </c>
      <c r="G151" s="39" t="n">
        <v>0</v>
      </c>
      <c r="H151" s="39"/>
      <c r="I151" s="39"/>
      <c r="J151" s="39"/>
      <c r="K151" s="39"/>
      <c r="L151" s="39"/>
      <c r="M151" s="39"/>
    </row>
    <row r="152" customFormat="false" ht="18" hidden="false" customHeight="true" outlineLevel="0" collapsed="false">
      <c r="A152" s="44" t="n">
        <v>101</v>
      </c>
      <c r="B152" s="45" t="n">
        <v>46258</v>
      </c>
      <c r="C152" s="46" t="s">
        <v>46</v>
      </c>
      <c r="D152" s="47" t="s">
        <v>231</v>
      </c>
      <c r="E152" s="48" t="n">
        <v>4</v>
      </c>
      <c r="F152" s="26" t="n">
        <f aca="false">'Norms &amp; Assumptions'!B33*E152</f>
        <v>600</v>
      </c>
      <c r="G152" s="27" t="n">
        <f aca="false">'Norms &amp; Assumptions'!B35*E152</f>
        <v>0.72</v>
      </c>
      <c r="H152" s="28"/>
      <c r="I152" s="29"/>
      <c r="J152" s="30" t="str">
        <f aca="false">IF(H152="","",H152-F152)</f>
        <v/>
      </c>
      <c r="K152" s="31" t="str">
        <f aca="false">IF(I152="","",I152-G152)</f>
        <v/>
      </c>
      <c r="L152" s="32" t="str">
        <f aca="false">IF(OR(H152="",F152=0),"",H152/F152)</f>
        <v/>
      </c>
      <c r="M152" s="33"/>
    </row>
    <row r="153" customFormat="false" ht="18" hidden="false" customHeight="true" outlineLevel="0" collapsed="false">
      <c r="A153" s="44" t="n">
        <v>102</v>
      </c>
      <c r="B153" s="45" t="n">
        <v>46259</v>
      </c>
      <c r="C153" s="46" t="s">
        <v>50</v>
      </c>
      <c r="D153" s="47" t="s">
        <v>232</v>
      </c>
      <c r="E153" s="48" t="n">
        <v>4</v>
      </c>
      <c r="F153" s="26" t="n">
        <f aca="false">'Norms &amp; Assumptions'!B33*E153</f>
        <v>600</v>
      </c>
      <c r="G153" s="27" t="n">
        <f aca="false">'Norms &amp; Assumptions'!B35*E153</f>
        <v>0.72</v>
      </c>
      <c r="H153" s="28"/>
      <c r="I153" s="29"/>
      <c r="J153" s="30" t="str">
        <f aca="false">IF(H153="","",H153-F153)</f>
        <v/>
      </c>
      <c r="K153" s="31" t="str">
        <f aca="false">IF(I153="","",I153-G153)</f>
        <v/>
      </c>
      <c r="L153" s="32" t="str">
        <f aca="false">IF(OR(H153="",F153=0),"",H153/F153)</f>
        <v/>
      </c>
      <c r="M153" s="33"/>
    </row>
    <row r="154" customFormat="false" ht="18" hidden="false" customHeight="true" outlineLevel="0" collapsed="false">
      <c r="A154" s="44" t="n">
        <v>103</v>
      </c>
      <c r="B154" s="45" t="n">
        <v>46260</v>
      </c>
      <c r="C154" s="46" t="s">
        <v>55</v>
      </c>
      <c r="D154" s="47" t="s">
        <v>233</v>
      </c>
      <c r="E154" s="48" t="n">
        <v>4</v>
      </c>
      <c r="F154" s="26" t="n">
        <f aca="false">'Norms &amp; Assumptions'!B33*E154</f>
        <v>600</v>
      </c>
      <c r="G154" s="27" t="n">
        <f aca="false">'Norms &amp; Assumptions'!B35*E154</f>
        <v>0.72</v>
      </c>
      <c r="H154" s="28"/>
      <c r="I154" s="29"/>
      <c r="J154" s="30" t="str">
        <f aca="false">IF(H154="","",H154-F154)</f>
        <v/>
      </c>
      <c r="K154" s="31" t="str">
        <f aca="false">IF(I154="","",I154-G154)</f>
        <v/>
      </c>
      <c r="L154" s="32" t="str">
        <f aca="false">IF(OR(H154="",F154=0),"",H154/F154)</f>
        <v/>
      </c>
      <c r="M154" s="33"/>
    </row>
    <row r="155" customFormat="false" ht="18" hidden="false" customHeight="true" outlineLevel="0" collapsed="false">
      <c r="A155" s="44" t="n">
        <v>104</v>
      </c>
      <c r="B155" s="45" t="n">
        <v>46261</v>
      </c>
      <c r="C155" s="46" t="s">
        <v>38</v>
      </c>
      <c r="D155" s="47" t="s">
        <v>234</v>
      </c>
      <c r="E155" s="48" t="n">
        <v>4</v>
      </c>
      <c r="F155" s="26" t="n">
        <f aca="false">'Norms &amp; Assumptions'!B33*E155</f>
        <v>600</v>
      </c>
      <c r="G155" s="27" t="n">
        <f aca="false">'Norms &amp; Assumptions'!B35*E155</f>
        <v>0.72</v>
      </c>
      <c r="H155" s="28"/>
      <c r="I155" s="29"/>
      <c r="J155" s="30" t="str">
        <f aca="false">IF(H155="","",H155-F155)</f>
        <v/>
      </c>
      <c r="K155" s="31" t="str">
        <f aca="false">IF(I155="","",I155-G155)</f>
        <v/>
      </c>
      <c r="L155" s="32" t="str">
        <f aca="false">IF(OR(H155="",F155=0),"",H155/F155)</f>
        <v/>
      </c>
      <c r="M155" s="33"/>
    </row>
    <row r="156" customFormat="false" ht="18" hidden="false" customHeight="true" outlineLevel="0" collapsed="false">
      <c r="A156" s="44" t="n">
        <v>105</v>
      </c>
      <c r="B156" s="45" t="n">
        <v>46262</v>
      </c>
      <c r="C156" s="46" t="s">
        <v>43</v>
      </c>
      <c r="D156" s="47" t="s">
        <v>235</v>
      </c>
      <c r="E156" s="48" t="n">
        <v>4</v>
      </c>
      <c r="F156" s="26" t="n">
        <f aca="false">'Norms &amp; Assumptions'!B33*E156</f>
        <v>600</v>
      </c>
      <c r="G156" s="27" t="n">
        <f aca="false">'Norms &amp; Assumptions'!B35*E156</f>
        <v>0.72</v>
      </c>
      <c r="H156" s="28"/>
      <c r="I156" s="29"/>
      <c r="J156" s="30" t="str">
        <f aca="false">IF(H156="","",H156-F156)</f>
        <v/>
      </c>
      <c r="K156" s="31" t="str">
        <f aca="false">IF(I156="","",I156-G156)</f>
        <v/>
      </c>
      <c r="L156" s="32" t="str">
        <f aca="false">IF(OR(H156="",F156=0),"",H156/F156)</f>
        <v/>
      </c>
      <c r="M156" s="33"/>
    </row>
    <row r="157" customFormat="false" ht="18" hidden="false" customHeight="true" outlineLevel="0" collapsed="false">
      <c r="A157" s="39"/>
      <c r="B157" s="40" t="n">
        <v>46263</v>
      </c>
      <c r="C157" s="41" t="s">
        <v>41</v>
      </c>
      <c r="D157" s="42" t="s">
        <v>129</v>
      </c>
      <c r="E157" s="43" t="n">
        <v>0</v>
      </c>
      <c r="F157" s="39" t="n">
        <v>0</v>
      </c>
      <c r="G157" s="39" t="n">
        <v>0</v>
      </c>
      <c r="H157" s="39"/>
      <c r="I157" s="39"/>
      <c r="J157" s="39"/>
      <c r="K157" s="39"/>
      <c r="L157" s="39"/>
      <c r="M157" s="39"/>
    </row>
    <row r="158" customFormat="false" ht="18" hidden="false" customHeight="true" outlineLevel="0" collapsed="false">
      <c r="A158" s="39"/>
      <c r="B158" s="40" t="n">
        <v>46264</v>
      </c>
      <c r="C158" s="41" t="s">
        <v>52</v>
      </c>
      <c r="D158" s="42" t="s">
        <v>129</v>
      </c>
      <c r="E158" s="43" t="n">
        <v>0</v>
      </c>
      <c r="F158" s="39" t="n">
        <v>0</v>
      </c>
      <c r="G158" s="39" t="n">
        <v>0</v>
      </c>
      <c r="H158" s="39"/>
      <c r="I158" s="39"/>
      <c r="J158" s="39"/>
      <c r="K158" s="39"/>
      <c r="L158" s="39"/>
      <c r="M158" s="39"/>
    </row>
    <row r="159" customFormat="false" ht="18" hidden="false" customHeight="true" outlineLevel="0" collapsed="false">
      <c r="A159" s="44" t="n">
        <v>106</v>
      </c>
      <c r="B159" s="45" t="n">
        <v>46265</v>
      </c>
      <c r="C159" s="46" t="s">
        <v>46</v>
      </c>
      <c r="D159" s="47" t="s">
        <v>236</v>
      </c>
      <c r="E159" s="48" t="n">
        <v>4</v>
      </c>
      <c r="F159" s="26" t="n">
        <f aca="false">'Norms &amp; Assumptions'!B33*E159</f>
        <v>600</v>
      </c>
      <c r="G159" s="27" t="n">
        <f aca="false">'Norms &amp; Assumptions'!B35*E159</f>
        <v>0.72</v>
      </c>
      <c r="H159" s="28"/>
      <c r="I159" s="29"/>
      <c r="J159" s="30" t="str">
        <f aca="false">IF(H159="","",H159-F159)</f>
        <v/>
      </c>
      <c r="K159" s="31" t="str">
        <f aca="false">IF(I159="","",I159-G159)</f>
        <v/>
      </c>
      <c r="L159" s="32" t="str">
        <f aca="false">IF(OR(H159="",F159=0),"",H159/F159)</f>
        <v/>
      </c>
      <c r="M159" s="33"/>
    </row>
    <row r="160" customFormat="false" ht="18" hidden="false" customHeight="true" outlineLevel="0" collapsed="false">
      <c r="A160" s="44" t="n">
        <v>107</v>
      </c>
      <c r="B160" s="45" t="n">
        <v>46266</v>
      </c>
      <c r="C160" s="46" t="s">
        <v>50</v>
      </c>
      <c r="D160" s="47" t="s">
        <v>237</v>
      </c>
      <c r="E160" s="48" t="n">
        <v>4</v>
      </c>
      <c r="F160" s="26" t="n">
        <f aca="false">'Norms &amp; Assumptions'!B33*E160</f>
        <v>600</v>
      </c>
      <c r="G160" s="27" t="n">
        <f aca="false">'Norms &amp; Assumptions'!B35*E160</f>
        <v>0.72</v>
      </c>
      <c r="H160" s="28"/>
      <c r="I160" s="29"/>
      <c r="J160" s="30" t="str">
        <f aca="false">IF(H160="","",H160-F160)</f>
        <v/>
      </c>
      <c r="K160" s="31" t="str">
        <f aca="false">IF(I160="","",I160-G160)</f>
        <v/>
      </c>
      <c r="L160" s="32" t="str">
        <f aca="false">IF(OR(H160="",F160=0),"",H160/F160)</f>
        <v/>
      </c>
      <c r="M160" s="33"/>
    </row>
    <row r="161" customFormat="false" ht="18" hidden="false" customHeight="true" outlineLevel="0" collapsed="false">
      <c r="A161" s="44" t="n">
        <v>108</v>
      </c>
      <c r="B161" s="45" t="n">
        <v>46267</v>
      </c>
      <c r="C161" s="46" t="s">
        <v>55</v>
      </c>
      <c r="D161" s="47" t="s">
        <v>238</v>
      </c>
      <c r="E161" s="48" t="n">
        <v>4</v>
      </c>
      <c r="F161" s="26" t="n">
        <f aca="false">'Norms &amp; Assumptions'!B33*E161</f>
        <v>600</v>
      </c>
      <c r="G161" s="27" t="n">
        <f aca="false">'Norms &amp; Assumptions'!B35*E161</f>
        <v>0.72</v>
      </c>
      <c r="H161" s="28"/>
      <c r="I161" s="29"/>
      <c r="J161" s="30" t="str">
        <f aca="false">IF(H161="","",H161-F161)</f>
        <v/>
      </c>
      <c r="K161" s="31" t="str">
        <f aca="false">IF(I161="","",I161-G161)</f>
        <v/>
      </c>
      <c r="L161" s="32" t="str">
        <f aca="false">IF(OR(H161="",F161=0),"",H161/F161)</f>
        <v/>
      </c>
      <c r="M161" s="33"/>
    </row>
    <row r="162" customFormat="false" ht="18" hidden="false" customHeight="true" outlineLevel="0" collapsed="false">
      <c r="A162" s="44" t="n">
        <v>109</v>
      </c>
      <c r="B162" s="45" t="n">
        <v>46268</v>
      </c>
      <c r="C162" s="46" t="s">
        <v>38</v>
      </c>
      <c r="D162" s="47" t="s">
        <v>239</v>
      </c>
      <c r="E162" s="48" t="n">
        <v>4</v>
      </c>
      <c r="F162" s="26" t="n">
        <f aca="false">'Norms &amp; Assumptions'!B33*E162</f>
        <v>600</v>
      </c>
      <c r="G162" s="27" t="n">
        <f aca="false">'Norms &amp; Assumptions'!B35*E162</f>
        <v>0.72</v>
      </c>
      <c r="H162" s="28"/>
      <c r="I162" s="29"/>
      <c r="J162" s="30" t="str">
        <f aca="false">IF(H162="","",H162-F162)</f>
        <v/>
      </c>
      <c r="K162" s="31" t="str">
        <f aca="false">IF(I162="","",I162-G162)</f>
        <v/>
      </c>
      <c r="L162" s="32" t="str">
        <f aca="false">IF(OR(H162="",F162=0),"",H162/F162)</f>
        <v/>
      </c>
      <c r="M162" s="33"/>
    </row>
    <row r="163" customFormat="false" ht="18" hidden="false" customHeight="true" outlineLevel="0" collapsed="false">
      <c r="A163" s="44" t="n">
        <v>110</v>
      </c>
      <c r="B163" s="45" t="n">
        <v>46269</v>
      </c>
      <c r="C163" s="46" t="s">
        <v>43</v>
      </c>
      <c r="D163" s="47" t="s">
        <v>240</v>
      </c>
      <c r="E163" s="48" t="n">
        <v>4</v>
      </c>
      <c r="F163" s="26" t="n">
        <f aca="false">'Norms &amp; Assumptions'!B33*E163</f>
        <v>600</v>
      </c>
      <c r="G163" s="27" t="n">
        <f aca="false">'Norms &amp; Assumptions'!B35*E163</f>
        <v>0.72</v>
      </c>
      <c r="H163" s="28"/>
      <c r="I163" s="29"/>
      <c r="J163" s="30" t="str">
        <f aca="false">IF(H163="","",H163-F163)</f>
        <v/>
      </c>
      <c r="K163" s="31" t="str">
        <f aca="false">IF(I163="","",I163-G163)</f>
        <v/>
      </c>
      <c r="L163" s="32" t="str">
        <f aca="false">IF(OR(H163="",F163=0),"",H163/F163)</f>
        <v/>
      </c>
      <c r="M163" s="33"/>
    </row>
    <row r="164" customFormat="false" ht="18" hidden="false" customHeight="true" outlineLevel="0" collapsed="false">
      <c r="A164" s="39"/>
      <c r="B164" s="40" t="n">
        <v>46270</v>
      </c>
      <c r="C164" s="41" t="s">
        <v>41</v>
      </c>
      <c r="D164" s="42" t="s">
        <v>129</v>
      </c>
      <c r="E164" s="43" t="n">
        <v>0</v>
      </c>
      <c r="F164" s="39" t="n">
        <v>0</v>
      </c>
      <c r="G164" s="39" t="n">
        <v>0</v>
      </c>
      <c r="H164" s="39"/>
      <c r="I164" s="39"/>
      <c r="J164" s="39"/>
      <c r="K164" s="39"/>
      <c r="L164" s="39"/>
      <c r="M164" s="39"/>
    </row>
    <row r="165" customFormat="false" ht="18" hidden="false" customHeight="true" outlineLevel="0" collapsed="false">
      <c r="A165" s="39"/>
      <c r="B165" s="40" t="n">
        <v>46271</v>
      </c>
      <c r="C165" s="41" t="s">
        <v>52</v>
      </c>
      <c r="D165" s="42" t="s">
        <v>129</v>
      </c>
      <c r="E165" s="43" t="n">
        <v>0</v>
      </c>
      <c r="F165" s="39" t="n">
        <v>0</v>
      </c>
      <c r="G165" s="39" t="n">
        <v>0</v>
      </c>
      <c r="H165" s="39"/>
      <c r="I165" s="39"/>
      <c r="J165" s="39"/>
      <c r="K165" s="39"/>
      <c r="L165" s="39"/>
      <c r="M165" s="39"/>
    </row>
    <row r="166" customFormat="false" ht="18" hidden="false" customHeight="true" outlineLevel="0" collapsed="false">
      <c r="A166" s="44" t="n">
        <v>111</v>
      </c>
      <c r="B166" s="45" t="n">
        <v>46272</v>
      </c>
      <c r="C166" s="46" t="s">
        <v>46</v>
      </c>
      <c r="D166" s="47" t="s">
        <v>241</v>
      </c>
      <c r="E166" s="48" t="n">
        <v>4</v>
      </c>
      <c r="F166" s="26" t="n">
        <f aca="false">'Norms &amp; Assumptions'!B33*E166</f>
        <v>600</v>
      </c>
      <c r="G166" s="27" t="n">
        <f aca="false">'Norms &amp; Assumptions'!B35*E166</f>
        <v>0.72</v>
      </c>
      <c r="H166" s="28"/>
      <c r="I166" s="29"/>
      <c r="J166" s="30" t="str">
        <f aca="false">IF(H166="","",H166-F166)</f>
        <v/>
      </c>
      <c r="K166" s="31" t="str">
        <f aca="false">IF(I166="","",I166-G166)</f>
        <v/>
      </c>
      <c r="L166" s="32" t="str">
        <f aca="false">IF(OR(H166="",F166=0),"",H166/F166)</f>
        <v/>
      </c>
      <c r="M166" s="33"/>
    </row>
    <row r="167" customFormat="false" ht="18" hidden="false" customHeight="true" outlineLevel="0" collapsed="false">
      <c r="A167" s="44" t="n">
        <v>112</v>
      </c>
      <c r="B167" s="45" t="n">
        <v>46273</v>
      </c>
      <c r="C167" s="46" t="s">
        <v>50</v>
      </c>
      <c r="D167" s="47" t="s">
        <v>242</v>
      </c>
      <c r="E167" s="48" t="n">
        <v>4</v>
      </c>
      <c r="F167" s="26" t="n">
        <f aca="false">'Norms &amp; Assumptions'!B33*E167</f>
        <v>600</v>
      </c>
      <c r="G167" s="27" t="n">
        <f aca="false">'Norms &amp; Assumptions'!B35*E167</f>
        <v>0.72</v>
      </c>
      <c r="H167" s="28"/>
      <c r="I167" s="29"/>
      <c r="J167" s="30" t="str">
        <f aca="false">IF(H167="","",H167-F167)</f>
        <v/>
      </c>
      <c r="K167" s="31" t="str">
        <f aca="false">IF(I167="","",I167-G167)</f>
        <v/>
      </c>
      <c r="L167" s="32" t="str">
        <f aca="false">IF(OR(H167="",F167=0),"",H167/F167)</f>
        <v/>
      </c>
      <c r="M167" s="33"/>
    </row>
    <row r="168" customFormat="false" ht="18" hidden="false" customHeight="true" outlineLevel="0" collapsed="false">
      <c r="A168" s="44" t="n">
        <v>113</v>
      </c>
      <c r="B168" s="45" t="n">
        <v>46274</v>
      </c>
      <c r="C168" s="46" t="s">
        <v>55</v>
      </c>
      <c r="D168" s="47" t="s">
        <v>243</v>
      </c>
      <c r="E168" s="48" t="n">
        <v>4</v>
      </c>
      <c r="F168" s="26" t="n">
        <f aca="false">'Norms &amp; Assumptions'!B33*E168</f>
        <v>600</v>
      </c>
      <c r="G168" s="27" t="n">
        <f aca="false">'Norms &amp; Assumptions'!B35*E168</f>
        <v>0.72</v>
      </c>
      <c r="H168" s="28"/>
      <c r="I168" s="29"/>
      <c r="J168" s="30" t="str">
        <f aca="false">IF(H168="","",H168-F168)</f>
        <v/>
      </c>
      <c r="K168" s="31" t="str">
        <f aca="false">IF(I168="","",I168-G168)</f>
        <v/>
      </c>
      <c r="L168" s="32" t="str">
        <f aca="false">IF(OR(H168="",F168=0),"",H168/F168)</f>
        <v/>
      </c>
      <c r="M168" s="33"/>
    </row>
    <row r="169" customFormat="false" ht="18" hidden="false" customHeight="true" outlineLevel="0" collapsed="false">
      <c r="A169" s="44" t="n">
        <v>114</v>
      </c>
      <c r="B169" s="45" t="n">
        <v>46275</v>
      </c>
      <c r="C169" s="46" t="s">
        <v>38</v>
      </c>
      <c r="D169" s="47" t="s">
        <v>244</v>
      </c>
      <c r="E169" s="48" t="n">
        <v>4</v>
      </c>
      <c r="F169" s="26" t="n">
        <f aca="false">'Norms &amp; Assumptions'!B33*E169</f>
        <v>600</v>
      </c>
      <c r="G169" s="27" t="n">
        <f aca="false">'Norms &amp; Assumptions'!B35*E169</f>
        <v>0.72</v>
      </c>
      <c r="H169" s="28"/>
      <c r="I169" s="29"/>
      <c r="J169" s="30" t="str">
        <f aca="false">IF(H169="","",H169-F169)</f>
        <v/>
      </c>
      <c r="K169" s="31" t="str">
        <f aca="false">IF(I169="","",I169-G169)</f>
        <v/>
      </c>
      <c r="L169" s="32" t="str">
        <f aca="false">IF(OR(H169="",F169=0),"",H169/F169)</f>
        <v/>
      </c>
      <c r="M169" s="33"/>
    </row>
    <row r="170" customFormat="false" ht="18" hidden="false" customHeight="true" outlineLevel="0" collapsed="false">
      <c r="A170" s="44" t="n">
        <v>115</v>
      </c>
      <c r="B170" s="45" t="n">
        <v>46276</v>
      </c>
      <c r="C170" s="46" t="s">
        <v>43</v>
      </c>
      <c r="D170" s="47" t="s">
        <v>245</v>
      </c>
      <c r="E170" s="48" t="n">
        <v>4</v>
      </c>
      <c r="F170" s="26" t="n">
        <f aca="false">'Norms &amp; Assumptions'!B33*E170</f>
        <v>600</v>
      </c>
      <c r="G170" s="27" t="n">
        <f aca="false">'Norms &amp; Assumptions'!B35*E170</f>
        <v>0.72</v>
      </c>
      <c r="H170" s="28"/>
      <c r="I170" s="29"/>
      <c r="J170" s="30" t="str">
        <f aca="false">IF(H170="","",H170-F170)</f>
        <v/>
      </c>
      <c r="K170" s="31" t="str">
        <f aca="false">IF(I170="","",I170-G170)</f>
        <v/>
      </c>
      <c r="L170" s="32" t="str">
        <f aca="false">IF(OR(H170="",F170=0),"",H170/F170)</f>
        <v/>
      </c>
      <c r="M170" s="33"/>
    </row>
    <row r="171" customFormat="false" ht="18" hidden="false" customHeight="true" outlineLevel="0" collapsed="false">
      <c r="A171" s="39"/>
      <c r="B171" s="40" t="n">
        <v>46277</v>
      </c>
      <c r="C171" s="41" t="s">
        <v>41</v>
      </c>
      <c r="D171" s="42" t="s">
        <v>129</v>
      </c>
      <c r="E171" s="43" t="n">
        <v>0</v>
      </c>
      <c r="F171" s="39" t="n">
        <v>0</v>
      </c>
      <c r="G171" s="39" t="n">
        <v>0</v>
      </c>
      <c r="H171" s="39"/>
      <c r="I171" s="39"/>
      <c r="J171" s="39"/>
      <c r="K171" s="39"/>
      <c r="L171" s="39"/>
      <c r="M171" s="39"/>
    </row>
    <row r="172" customFormat="false" ht="18" hidden="false" customHeight="true" outlineLevel="0" collapsed="false">
      <c r="A172" s="39"/>
      <c r="B172" s="40" t="n">
        <v>46278</v>
      </c>
      <c r="C172" s="41" t="s">
        <v>52</v>
      </c>
      <c r="D172" s="42" t="s">
        <v>129</v>
      </c>
      <c r="E172" s="43" t="n">
        <v>0</v>
      </c>
      <c r="F172" s="39" t="n">
        <v>0</v>
      </c>
      <c r="G172" s="39" t="n">
        <v>0</v>
      </c>
      <c r="H172" s="39"/>
      <c r="I172" s="39"/>
      <c r="J172" s="39"/>
      <c r="K172" s="39"/>
      <c r="L172" s="39"/>
      <c r="M172" s="39"/>
    </row>
    <row r="173" customFormat="false" ht="18" hidden="false" customHeight="true" outlineLevel="0" collapsed="false">
      <c r="A173" s="44" t="n">
        <v>116</v>
      </c>
      <c r="B173" s="45" t="n">
        <v>46279</v>
      </c>
      <c r="C173" s="46" t="s">
        <v>46</v>
      </c>
      <c r="D173" s="47" t="s">
        <v>246</v>
      </c>
      <c r="E173" s="48" t="n">
        <v>4</v>
      </c>
      <c r="F173" s="26" t="n">
        <f aca="false">'Norms &amp; Assumptions'!B33*E173</f>
        <v>600</v>
      </c>
      <c r="G173" s="27" t="n">
        <f aca="false">'Norms &amp; Assumptions'!B35*E173</f>
        <v>0.72</v>
      </c>
      <c r="H173" s="28"/>
      <c r="I173" s="29"/>
      <c r="J173" s="30" t="str">
        <f aca="false">IF(H173="","",H173-F173)</f>
        <v/>
      </c>
      <c r="K173" s="31" t="str">
        <f aca="false">IF(I173="","",I173-G173)</f>
        <v/>
      </c>
      <c r="L173" s="32" t="str">
        <f aca="false">IF(OR(H173="",F173=0),"",H173/F173)</f>
        <v/>
      </c>
      <c r="M173" s="33"/>
    </row>
    <row r="174" customFormat="false" ht="18" hidden="false" customHeight="true" outlineLevel="0" collapsed="false">
      <c r="A174" s="44" t="n">
        <v>117</v>
      </c>
      <c r="B174" s="45" t="n">
        <v>46280</v>
      </c>
      <c r="C174" s="46" t="s">
        <v>50</v>
      </c>
      <c r="D174" s="47" t="s">
        <v>247</v>
      </c>
      <c r="E174" s="48" t="n">
        <v>4</v>
      </c>
      <c r="F174" s="26" t="n">
        <f aca="false">'Norms &amp; Assumptions'!B33*E174</f>
        <v>600</v>
      </c>
      <c r="G174" s="27" t="n">
        <f aca="false">'Norms &amp; Assumptions'!B35*E174</f>
        <v>0.72</v>
      </c>
      <c r="H174" s="28"/>
      <c r="I174" s="29"/>
      <c r="J174" s="30" t="str">
        <f aca="false">IF(H174="","",H174-F174)</f>
        <v/>
      </c>
      <c r="K174" s="31" t="str">
        <f aca="false">IF(I174="","",I174-G174)</f>
        <v/>
      </c>
      <c r="L174" s="32" t="str">
        <f aca="false">IF(OR(H174="",F174=0),"",H174/F174)</f>
        <v/>
      </c>
      <c r="M174" s="33"/>
    </row>
    <row r="175" customFormat="false" ht="18" hidden="false" customHeight="true" outlineLevel="0" collapsed="false">
      <c r="A175" s="44" t="n">
        <v>118</v>
      </c>
      <c r="B175" s="45" t="n">
        <v>46281</v>
      </c>
      <c r="C175" s="46" t="s">
        <v>55</v>
      </c>
      <c r="D175" s="47" t="s">
        <v>248</v>
      </c>
      <c r="E175" s="48" t="n">
        <v>4</v>
      </c>
      <c r="F175" s="26" t="n">
        <f aca="false">'Norms &amp; Assumptions'!B33*E175</f>
        <v>600</v>
      </c>
      <c r="G175" s="27" t="n">
        <f aca="false">'Norms &amp; Assumptions'!B35*E175</f>
        <v>0.72</v>
      </c>
      <c r="H175" s="28"/>
      <c r="I175" s="29"/>
      <c r="J175" s="30" t="str">
        <f aca="false">IF(H175="","",H175-F175)</f>
        <v/>
      </c>
      <c r="K175" s="31" t="str">
        <f aca="false">IF(I175="","",I175-G175)</f>
        <v/>
      </c>
      <c r="L175" s="32" t="str">
        <f aca="false">IF(OR(H175="",F175=0),"",H175/F175)</f>
        <v/>
      </c>
      <c r="M175" s="33"/>
    </row>
    <row r="176" customFormat="false" ht="18" hidden="false" customHeight="true" outlineLevel="0" collapsed="false">
      <c r="A176" s="44" t="n">
        <v>119</v>
      </c>
      <c r="B176" s="45" t="n">
        <v>46282</v>
      </c>
      <c r="C176" s="46" t="s">
        <v>38</v>
      </c>
      <c r="D176" s="47" t="s">
        <v>249</v>
      </c>
      <c r="E176" s="48" t="n">
        <v>4</v>
      </c>
      <c r="F176" s="26" t="n">
        <f aca="false">'Norms &amp; Assumptions'!B33*E176</f>
        <v>600</v>
      </c>
      <c r="G176" s="27" t="n">
        <f aca="false">'Norms &amp; Assumptions'!B35*E176</f>
        <v>0.72</v>
      </c>
      <c r="H176" s="28"/>
      <c r="I176" s="29"/>
      <c r="J176" s="30" t="str">
        <f aca="false">IF(H176="","",H176-F176)</f>
        <v/>
      </c>
      <c r="K176" s="31" t="str">
        <f aca="false">IF(I176="","",I176-G176)</f>
        <v/>
      </c>
      <c r="L176" s="32" t="str">
        <f aca="false">IF(OR(H176="",F176=0),"",H176/F176)</f>
        <v/>
      </c>
      <c r="M176" s="33"/>
    </row>
    <row r="177" customFormat="false" ht="18" hidden="false" customHeight="true" outlineLevel="0" collapsed="false">
      <c r="A177" s="44" t="n">
        <v>120</v>
      </c>
      <c r="B177" s="45" t="n">
        <v>46283</v>
      </c>
      <c r="C177" s="46" t="s">
        <v>43</v>
      </c>
      <c r="D177" s="47" t="s">
        <v>250</v>
      </c>
      <c r="E177" s="48" t="n">
        <v>4</v>
      </c>
      <c r="F177" s="26" t="n">
        <f aca="false">'Norms &amp; Assumptions'!B33*E177</f>
        <v>600</v>
      </c>
      <c r="G177" s="27" t="n">
        <f aca="false">'Norms &amp; Assumptions'!B35*E177</f>
        <v>0.72</v>
      </c>
      <c r="H177" s="28"/>
      <c r="I177" s="29"/>
      <c r="J177" s="30" t="str">
        <f aca="false">IF(H177="","",H177-F177)</f>
        <v/>
      </c>
      <c r="K177" s="31" t="str">
        <f aca="false">IF(I177="","",I177-G177)</f>
        <v/>
      </c>
      <c r="L177" s="32" t="str">
        <f aca="false">IF(OR(H177="",F177=0),"",H177/F177)</f>
        <v/>
      </c>
      <c r="M177" s="33"/>
    </row>
    <row r="178" customFormat="false" ht="18" hidden="false" customHeight="true" outlineLevel="0" collapsed="false">
      <c r="A178" s="39"/>
      <c r="B178" s="40" t="n">
        <v>46284</v>
      </c>
      <c r="C178" s="41" t="s">
        <v>41</v>
      </c>
      <c r="D178" s="42" t="s">
        <v>129</v>
      </c>
      <c r="E178" s="43" t="n">
        <v>0</v>
      </c>
      <c r="F178" s="39" t="n">
        <v>0</v>
      </c>
      <c r="G178" s="39" t="n">
        <v>0</v>
      </c>
      <c r="H178" s="39"/>
      <c r="I178" s="39"/>
      <c r="J178" s="39"/>
      <c r="K178" s="39"/>
      <c r="L178" s="39"/>
      <c r="M178" s="39"/>
    </row>
    <row r="179" customFormat="false" ht="18" hidden="false" customHeight="true" outlineLevel="0" collapsed="false">
      <c r="A179" s="39"/>
      <c r="B179" s="40" t="n">
        <v>46285</v>
      </c>
      <c r="C179" s="41" t="s">
        <v>52</v>
      </c>
      <c r="D179" s="42" t="s">
        <v>129</v>
      </c>
      <c r="E179" s="43" t="n">
        <v>0</v>
      </c>
      <c r="F179" s="39" t="n">
        <v>0</v>
      </c>
      <c r="G179" s="39" t="n">
        <v>0</v>
      </c>
      <c r="H179" s="39"/>
      <c r="I179" s="39"/>
      <c r="J179" s="39"/>
      <c r="K179" s="39"/>
      <c r="L179" s="39"/>
      <c r="M179" s="39"/>
    </row>
    <row r="180" customFormat="false" ht="18" hidden="false" customHeight="true" outlineLevel="0" collapsed="false">
      <c r="A180" s="44" t="n">
        <v>121</v>
      </c>
      <c r="B180" s="45" t="n">
        <v>46286</v>
      </c>
      <c r="C180" s="46" t="s">
        <v>46</v>
      </c>
      <c r="D180" s="47" t="s">
        <v>251</v>
      </c>
      <c r="E180" s="48" t="n">
        <v>4</v>
      </c>
      <c r="F180" s="26" t="n">
        <f aca="false">'Norms &amp; Assumptions'!B33*E180</f>
        <v>600</v>
      </c>
      <c r="G180" s="27" t="n">
        <f aca="false">'Norms &amp; Assumptions'!B35*E180</f>
        <v>0.72</v>
      </c>
      <c r="H180" s="28"/>
      <c r="I180" s="29"/>
      <c r="J180" s="30" t="str">
        <f aca="false">IF(H180="","",H180-F180)</f>
        <v/>
      </c>
      <c r="K180" s="31" t="str">
        <f aca="false">IF(I180="","",I180-G180)</f>
        <v/>
      </c>
      <c r="L180" s="32" t="str">
        <f aca="false">IF(OR(H180="",F180=0),"",H180/F180)</f>
        <v/>
      </c>
      <c r="M180" s="33"/>
    </row>
    <row r="181" customFormat="false" ht="18" hidden="false" customHeight="true" outlineLevel="0" collapsed="false">
      <c r="A181" s="44" t="n">
        <v>122</v>
      </c>
      <c r="B181" s="45" t="n">
        <v>46287</v>
      </c>
      <c r="C181" s="46" t="s">
        <v>50</v>
      </c>
      <c r="D181" s="47" t="s">
        <v>252</v>
      </c>
      <c r="E181" s="48" t="n">
        <v>4</v>
      </c>
      <c r="F181" s="26" t="n">
        <f aca="false">'Norms &amp; Assumptions'!B33*E181</f>
        <v>600</v>
      </c>
      <c r="G181" s="27" t="n">
        <f aca="false">'Norms &amp; Assumptions'!B35*E181</f>
        <v>0.72</v>
      </c>
      <c r="H181" s="28"/>
      <c r="I181" s="29"/>
      <c r="J181" s="30" t="str">
        <f aca="false">IF(H181="","",H181-F181)</f>
        <v/>
      </c>
      <c r="K181" s="31" t="str">
        <f aca="false">IF(I181="","",I181-G181)</f>
        <v/>
      </c>
      <c r="L181" s="32" t="str">
        <f aca="false">IF(OR(H181="",F181=0),"",H181/F181)</f>
        <v/>
      </c>
      <c r="M181" s="33"/>
    </row>
    <row r="182" customFormat="false" ht="18" hidden="false" customHeight="true" outlineLevel="0" collapsed="false">
      <c r="A182" s="44" t="n">
        <v>123</v>
      </c>
      <c r="B182" s="45" t="n">
        <v>46288</v>
      </c>
      <c r="C182" s="46" t="s">
        <v>55</v>
      </c>
      <c r="D182" s="47" t="s">
        <v>253</v>
      </c>
      <c r="E182" s="48" t="n">
        <v>4</v>
      </c>
      <c r="F182" s="26" t="n">
        <f aca="false">'Norms &amp; Assumptions'!B33*E182</f>
        <v>600</v>
      </c>
      <c r="G182" s="27" t="n">
        <f aca="false">'Norms &amp; Assumptions'!B35*E182</f>
        <v>0.72</v>
      </c>
      <c r="H182" s="28"/>
      <c r="I182" s="29"/>
      <c r="J182" s="30" t="str">
        <f aca="false">IF(H182="","",H182-F182)</f>
        <v/>
      </c>
      <c r="K182" s="31" t="str">
        <f aca="false">IF(I182="","",I182-G182)</f>
        <v/>
      </c>
      <c r="L182" s="32" t="str">
        <f aca="false">IF(OR(H182="",F182=0),"",H182/F182)</f>
        <v/>
      </c>
      <c r="M182" s="33"/>
    </row>
    <row r="183" customFormat="false" ht="18" hidden="false" customHeight="true" outlineLevel="0" collapsed="false">
      <c r="A183" s="34"/>
      <c r="B183" s="35" t="n">
        <v>46289</v>
      </c>
      <c r="C183" s="36" t="s">
        <v>38</v>
      </c>
      <c r="D183" s="37" t="s">
        <v>254</v>
      </c>
      <c r="E183" s="38" t="n">
        <v>0</v>
      </c>
      <c r="F183" s="34" t="n">
        <v>0</v>
      </c>
      <c r="G183" s="34" t="n">
        <v>0</v>
      </c>
      <c r="H183" s="34"/>
      <c r="I183" s="34"/>
      <c r="J183" s="34"/>
      <c r="K183" s="34"/>
      <c r="L183" s="34"/>
      <c r="M183" s="34"/>
    </row>
    <row r="184" customFormat="false" ht="18" hidden="false" customHeight="true" outlineLevel="0" collapsed="false">
      <c r="A184" s="44" t="n">
        <v>124</v>
      </c>
      <c r="B184" s="45" t="n">
        <v>46290</v>
      </c>
      <c r="C184" s="46" t="s">
        <v>43</v>
      </c>
      <c r="D184" s="47" t="s">
        <v>255</v>
      </c>
      <c r="E184" s="48" t="n">
        <v>4</v>
      </c>
      <c r="F184" s="26" t="n">
        <f aca="false">'Norms &amp; Assumptions'!B33*E184</f>
        <v>600</v>
      </c>
      <c r="G184" s="27" t="n">
        <f aca="false">'Norms &amp; Assumptions'!B35*E184</f>
        <v>0.72</v>
      </c>
      <c r="H184" s="28"/>
      <c r="I184" s="29"/>
      <c r="J184" s="30" t="str">
        <f aca="false">IF(H184="","",H184-F184)</f>
        <v/>
      </c>
      <c r="K184" s="31" t="str">
        <f aca="false">IF(I184="","",I184-G184)</f>
        <v/>
      </c>
      <c r="L184" s="32" t="str">
        <f aca="false">IF(OR(H184="",F184=0),"",H184/F184)</f>
        <v/>
      </c>
      <c r="M184" s="33"/>
    </row>
    <row r="185" customFormat="false" ht="18" hidden="false" customHeight="true" outlineLevel="0" collapsed="false">
      <c r="A185" s="39"/>
      <c r="B185" s="40" t="n">
        <v>46291</v>
      </c>
      <c r="C185" s="41" t="s">
        <v>41</v>
      </c>
      <c r="D185" s="42" t="s">
        <v>129</v>
      </c>
      <c r="E185" s="43" t="n">
        <v>0</v>
      </c>
      <c r="F185" s="39" t="n">
        <v>0</v>
      </c>
      <c r="G185" s="39" t="n">
        <v>0</v>
      </c>
      <c r="H185" s="39"/>
      <c r="I185" s="39"/>
      <c r="J185" s="39"/>
      <c r="K185" s="39"/>
      <c r="L185" s="39"/>
      <c r="M185" s="39"/>
    </row>
    <row r="186" customFormat="false" ht="18" hidden="false" customHeight="true" outlineLevel="0" collapsed="false">
      <c r="A186" s="39"/>
      <c r="B186" s="40" t="n">
        <v>46292</v>
      </c>
      <c r="C186" s="41" t="s">
        <v>52</v>
      </c>
      <c r="D186" s="42" t="s">
        <v>129</v>
      </c>
      <c r="E186" s="43" t="n">
        <v>0</v>
      </c>
      <c r="F186" s="39" t="n">
        <v>0</v>
      </c>
      <c r="G186" s="39" t="n">
        <v>0</v>
      </c>
      <c r="H186" s="39"/>
      <c r="I186" s="39"/>
      <c r="J186" s="39"/>
      <c r="K186" s="39"/>
      <c r="L186" s="39"/>
      <c r="M186" s="39"/>
    </row>
    <row r="187" customFormat="false" ht="18" hidden="false" customHeight="true" outlineLevel="0" collapsed="false">
      <c r="A187" s="44" t="n">
        <v>125</v>
      </c>
      <c r="B187" s="45" t="n">
        <v>46293</v>
      </c>
      <c r="C187" s="46" t="s">
        <v>46</v>
      </c>
      <c r="D187" s="47" t="s">
        <v>256</v>
      </c>
      <c r="E187" s="48" t="n">
        <v>4</v>
      </c>
      <c r="F187" s="26" t="n">
        <f aca="false">'Norms &amp; Assumptions'!B33*E187</f>
        <v>600</v>
      </c>
      <c r="G187" s="27" t="n">
        <f aca="false">'Norms &amp; Assumptions'!B35*E187</f>
        <v>0.72</v>
      </c>
      <c r="H187" s="28"/>
      <c r="I187" s="29"/>
      <c r="J187" s="30" t="str">
        <f aca="false">IF(H187="","",H187-F187)</f>
        <v/>
      </c>
      <c r="K187" s="31" t="str">
        <f aca="false">IF(I187="","",I187-G187)</f>
        <v/>
      </c>
      <c r="L187" s="32" t="str">
        <f aca="false">IF(OR(H187="",F187=0),"",H187/F187)</f>
        <v/>
      </c>
      <c r="M187" s="33"/>
    </row>
    <row r="188" customFormat="false" ht="18" hidden="false" customHeight="true" outlineLevel="0" collapsed="false">
      <c r="A188" s="44" t="n">
        <v>126</v>
      </c>
      <c r="B188" s="45" t="n">
        <v>46294</v>
      </c>
      <c r="C188" s="46" t="s">
        <v>50</v>
      </c>
      <c r="D188" s="47" t="s">
        <v>257</v>
      </c>
      <c r="E188" s="48" t="n">
        <v>4</v>
      </c>
      <c r="F188" s="26" t="n">
        <f aca="false">'Norms &amp; Assumptions'!B33*E188</f>
        <v>600</v>
      </c>
      <c r="G188" s="27" t="n">
        <f aca="false">'Norms &amp; Assumptions'!B35*E188</f>
        <v>0.72</v>
      </c>
      <c r="H188" s="28"/>
      <c r="I188" s="29"/>
      <c r="J188" s="30" t="str">
        <f aca="false">IF(H188="","",H188-F188)</f>
        <v/>
      </c>
      <c r="K188" s="31" t="str">
        <f aca="false">IF(I188="","",I188-G188)</f>
        <v/>
      </c>
      <c r="L188" s="32" t="str">
        <f aca="false">IF(OR(H188="",F188=0),"",H188/F188)</f>
        <v/>
      </c>
      <c r="M188" s="33"/>
    </row>
    <row r="189" customFormat="false" ht="18" hidden="false" customHeight="true" outlineLevel="0" collapsed="false">
      <c r="A189" s="44" t="n">
        <v>127</v>
      </c>
      <c r="B189" s="45" t="n">
        <v>46295</v>
      </c>
      <c r="C189" s="46" t="s">
        <v>55</v>
      </c>
      <c r="D189" s="47" t="s">
        <v>258</v>
      </c>
      <c r="E189" s="48" t="n">
        <v>4</v>
      </c>
      <c r="F189" s="26" t="n">
        <f aca="false">'Norms &amp; Assumptions'!B33*E189</f>
        <v>600</v>
      </c>
      <c r="G189" s="27" t="n">
        <f aca="false">'Norms &amp; Assumptions'!B35*E189</f>
        <v>0.72</v>
      </c>
      <c r="H189" s="28"/>
      <c r="I189" s="29"/>
      <c r="J189" s="30" t="str">
        <f aca="false">IF(H189="","",H189-F189)</f>
        <v/>
      </c>
      <c r="K189" s="31" t="str">
        <f aca="false">IF(I189="","",I189-G189)</f>
        <v/>
      </c>
      <c r="L189" s="32" t="str">
        <f aca="false">IF(OR(H189="",F189=0),"",H189/F189)</f>
        <v/>
      </c>
      <c r="M189" s="33"/>
    </row>
    <row r="190" customFormat="false" ht="18" hidden="false" customHeight="true" outlineLevel="0" collapsed="false">
      <c r="A190" s="44" t="n">
        <v>128</v>
      </c>
      <c r="B190" s="45" t="n">
        <v>46296</v>
      </c>
      <c r="C190" s="46" t="s">
        <v>38</v>
      </c>
      <c r="D190" s="47" t="s">
        <v>259</v>
      </c>
      <c r="E190" s="48" t="n">
        <v>4</v>
      </c>
      <c r="F190" s="26" t="n">
        <f aca="false">'Norms &amp; Assumptions'!B33*E190</f>
        <v>600</v>
      </c>
      <c r="G190" s="27" t="n">
        <f aca="false">'Norms &amp; Assumptions'!B35*E190</f>
        <v>0.72</v>
      </c>
      <c r="H190" s="28"/>
      <c r="I190" s="29"/>
      <c r="J190" s="30" t="str">
        <f aca="false">IF(H190="","",H190-F190)</f>
        <v/>
      </c>
      <c r="K190" s="31" t="str">
        <f aca="false">IF(I190="","",I190-G190)</f>
        <v/>
      </c>
      <c r="L190" s="32" t="str">
        <f aca="false">IF(OR(H190="",F190=0),"",H190/F190)</f>
        <v/>
      </c>
      <c r="M190" s="33"/>
    </row>
    <row r="191" customFormat="false" ht="18" hidden="false" customHeight="true" outlineLevel="0" collapsed="false">
      <c r="A191" s="44" t="n">
        <v>129</v>
      </c>
      <c r="B191" s="45" t="n">
        <v>46297</v>
      </c>
      <c r="C191" s="46" t="s">
        <v>43</v>
      </c>
      <c r="D191" s="47" t="s">
        <v>260</v>
      </c>
      <c r="E191" s="48" t="n">
        <v>4</v>
      </c>
      <c r="F191" s="26" t="n">
        <f aca="false">'Norms &amp; Assumptions'!B33*E191</f>
        <v>600</v>
      </c>
      <c r="G191" s="27" t="n">
        <f aca="false">'Norms &amp; Assumptions'!B35*E191</f>
        <v>0.72</v>
      </c>
      <c r="H191" s="28"/>
      <c r="I191" s="29"/>
      <c r="J191" s="30" t="str">
        <f aca="false">IF(H191="","",H191-F191)</f>
        <v/>
      </c>
      <c r="K191" s="31" t="str">
        <f aca="false">IF(I191="","",I191-G191)</f>
        <v/>
      </c>
      <c r="L191" s="32" t="str">
        <f aca="false">IF(OR(H191="",F191=0),"",H191/F191)</f>
        <v/>
      </c>
      <c r="M191" s="33"/>
    </row>
    <row r="192" customFormat="false" ht="18" hidden="false" customHeight="true" outlineLevel="0" collapsed="false">
      <c r="A192" s="39"/>
      <c r="B192" s="40" t="n">
        <v>46298</v>
      </c>
      <c r="C192" s="41" t="s">
        <v>41</v>
      </c>
      <c r="D192" s="42" t="s">
        <v>129</v>
      </c>
      <c r="E192" s="43" t="n">
        <v>0</v>
      </c>
      <c r="F192" s="39" t="n">
        <v>0</v>
      </c>
      <c r="G192" s="39" t="n">
        <v>0</v>
      </c>
      <c r="H192" s="39"/>
      <c r="I192" s="39"/>
      <c r="J192" s="39"/>
      <c r="K192" s="39"/>
      <c r="L192" s="39"/>
      <c r="M192" s="39"/>
    </row>
    <row r="193" customFormat="false" ht="18" hidden="false" customHeight="true" outlineLevel="0" collapsed="false">
      <c r="A193" s="39"/>
      <c r="B193" s="40" t="n">
        <v>46299</v>
      </c>
      <c r="C193" s="41" t="s">
        <v>52</v>
      </c>
      <c r="D193" s="42" t="s">
        <v>129</v>
      </c>
      <c r="E193" s="43" t="n">
        <v>0</v>
      </c>
      <c r="F193" s="39" t="n">
        <v>0</v>
      </c>
      <c r="G193" s="39" t="n">
        <v>0</v>
      </c>
      <c r="H193" s="39"/>
      <c r="I193" s="39"/>
      <c r="J193" s="39"/>
      <c r="K193" s="39"/>
      <c r="L193" s="39"/>
      <c r="M193" s="39"/>
    </row>
    <row r="194" customFormat="false" ht="18" hidden="false" customHeight="true" outlineLevel="0" collapsed="false">
      <c r="A194" s="44" t="n">
        <v>130</v>
      </c>
      <c r="B194" s="45" t="n">
        <v>46300</v>
      </c>
      <c r="C194" s="46" t="s">
        <v>46</v>
      </c>
      <c r="D194" s="47" t="s">
        <v>261</v>
      </c>
      <c r="E194" s="48" t="n">
        <v>4</v>
      </c>
      <c r="F194" s="26" t="n">
        <f aca="false">'Norms &amp; Assumptions'!B33*E194</f>
        <v>600</v>
      </c>
      <c r="G194" s="27" t="n">
        <f aca="false">'Norms &amp; Assumptions'!B35*E194</f>
        <v>0.72</v>
      </c>
      <c r="H194" s="28"/>
      <c r="I194" s="29"/>
      <c r="J194" s="30" t="str">
        <f aca="false">IF(H194="","",H194-F194)</f>
        <v/>
      </c>
      <c r="K194" s="31" t="str">
        <f aca="false">IF(I194="","",I194-G194)</f>
        <v/>
      </c>
      <c r="L194" s="32" t="str">
        <f aca="false">IF(OR(H194="",F194=0),"",H194/F194)</f>
        <v/>
      </c>
      <c r="M194" s="33"/>
    </row>
    <row r="195" customFormat="false" ht="18" hidden="false" customHeight="true" outlineLevel="0" collapsed="false">
      <c r="A195" s="44" t="n">
        <v>131</v>
      </c>
      <c r="B195" s="45" t="n">
        <v>46301</v>
      </c>
      <c r="C195" s="46" t="s">
        <v>50</v>
      </c>
      <c r="D195" s="47" t="s">
        <v>262</v>
      </c>
      <c r="E195" s="48" t="n">
        <v>4</v>
      </c>
      <c r="F195" s="26" t="n">
        <f aca="false">'Norms &amp; Assumptions'!B33*E195</f>
        <v>600</v>
      </c>
      <c r="G195" s="27" t="n">
        <f aca="false">'Norms &amp; Assumptions'!B35*E195</f>
        <v>0.72</v>
      </c>
      <c r="H195" s="28"/>
      <c r="I195" s="29"/>
      <c r="J195" s="30" t="str">
        <f aca="false">IF(H195="","",H195-F195)</f>
        <v/>
      </c>
      <c r="K195" s="31" t="str">
        <f aca="false">IF(I195="","",I195-G195)</f>
        <v/>
      </c>
      <c r="L195" s="32" t="str">
        <f aca="false">IF(OR(H195="",F195=0),"",H195/F195)</f>
        <v/>
      </c>
      <c r="M195" s="33"/>
    </row>
    <row r="196" customFormat="false" ht="18" hidden="false" customHeight="true" outlineLevel="0" collapsed="false">
      <c r="A196" s="44" t="n">
        <v>132</v>
      </c>
      <c r="B196" s="45" t="n">
        <v>46302</v>
      </c>
      <c r="C196" s="46" t="s">
        <v>55</v>
      </c>
      <c r="D196" s="47" t="s">
        <v>263</v>
      </c>
      <c r="E196" s="48" t="n">
        <v>4</v>
      </c>
      <c r="F196" s="26" t="n">
        <f aca="false">'Norms &amp; Assumptions'!B33*E196</f>
        <v>600</v>
      </c>
      <c r="G196" s="27" t="n">
        <f aca="false">'Norms &amp; Assumptions'!B35*E196</f>
        <v>0.72</v>
      </c>
      <c r="H196" s="28"/>
      <c r="I196" s="29"/>
      <c r="J196" s="30" t="str">
        <f aca="false">IF(H196="","",H196-F196)</f>
        <v/>
      </c>
      <c r="K196" s="31" t="str">
        <f aca="false">IF(I196="","",I196-G196)</f>
        <v/>
      </c>
      <c r="L196" s="32" t="str">
        <f aca="false">IF(OR(H196="",F196=0),"",H196/F196)</f>
        <v/>
      </c>
      <c r="M196" s="33"/>
    </row>
    <row r="197" customFormat="false" ht="18" hidden="false" customHeight="true" outlineLevel="0" collapsed="false">
      <c r="A197" s="44" t="n">
        <v>133</v>
      </c>
      <c r="B197" s="45" t="n">
        <v>46303</v>
      </c>
      <c r="C197" s="46" t="s">
        <v>38</v>
      </c>
      <c r="D197" s="47" t="s">
        <v>264</v>
      </c>
      <c r="E197" s="48" t="n">
        <v>4</v>
      </c>
      <c r="F197" s="26" t="n">
        <f aca="false">'Norms &amp; Assumptions'!B33*E197</f>
        <v>600</v>
      </c>
      <c r="G197" s="27" t="n">
        <f aca="false">'Norms &amp; Assumptions'!B35*E197</f>
        <v>0.72</v>
      </c>
      <c r="H197" s="28"/>
      <c r="I197" s="29"/>
      <c r="J197" s="30" t="str">
        <f aca="false">IF(H197="","",H197-F197)</f>
        <v/>
      </c>
      <c r="K197" s="31" t="str">
        <f aca="false">IF(I197="","",I197-G197)</f>
        <v/>
      </c>
      <c r="L197" s="32" t="str">
        <f aca="false">IF(OR(H197="",F197=0),"",H197/F197)</f>
        <v/>
      </c>
      <c r="M197" s="33"/>
    </row>
    <row r="198" customFormat="false" ht="18" hidden="false" customHeight="true" outlineLevel="0" collapsed="false">
      <c r="A198" s="44" t="n">
        <v>134</v>
      </c>
      <c r="B198" s="45" t="n">
        <v>46304</v>
      </c>
      <c r="C198" s="46" t="s">
        <v>43</v>
      </c>
      <c r="D198" s="47" t="s">
        <v>265</v>
      </c>
      <c r="E198" s="48" t="n">
        <v>4</v>
      </c>
      <c r="F198" s="26" t="n">
        <f aca="false">'Norms &amp; Assumptions'!B33*E198</f>
        <v>600</v>
      </c>
      <c r="G198" s="27" t="n">
        <f aca="false">'Norms &amp; Assumptions'!B35*E198</f>
        <v>0.72</v>
      </c>
      <c r="H198" s="28"/>
      <c r="I198" s="29"/>
      <c r="J198" s="30" t="str">
        <f aca="false">IF(H198="","",H198-F198)</f>
        <v/>
      </c>
      <c r="K198" s="31" t="str">
        <f aca="false">IF(I198="","",I198-G198)</f>
        <v/>
      </c>
      <c r="L198" s="32" t="str">
        <f aca="false">IF(OR(H198="",F198=0),"",H198/F198)</f>
        <v/>
      </c>
      <c r="M198" s="33"/>
    </row>
    <row r="199" customFormat="false" ht="18" hidden="false" customHeight="true" outlineLevel="0" collapsed="false">
      <c r="A199" s="39"/>
      <c r="B199" s="40" t="n">
        <v>46305</v>
      </c>
      <c r="C199" s="41" t="s">
        <v>41</v>
      </c>
      <c r="D199" s="42" t="s">
        <v>129</v>
      </c>
      <c r="E199" s="43" t="n">
        <v>0</v>
      </c>
      <c r="F199" s="39" t="n">
        <v>0</v>
      </c>
      <c r="G199" s="39" t="n">
        <v>0</v>
      </c>
      <c r="H199" s="39"/>
      <c r="I199" s="39"/>
      <c r="J199" s="39"/>
      <c r="K199" s="39"/>
      <c r="L199" s="39"/>
      <c r="M199" s="39"/>
    </row>
    <row r="200" customFormat="false" ht="18" hidden="false" customHeight="true" outlineLevel="0" collapsed="false">
      <c r="A200" s="39"/>
      <c r="B200" s="40" t="n">
        <v>46306</v>
      </c>
      <c r="C200" s="41" t="s">
        <v>52</v>
      </c>
      <c r="D200" s="42" t="s">
        <v>129</v>
      </c>
      <c r="E200" s="43" t="n">
        <v>0</v>
      </c>
      <c r="F200" s="39" t="n">
        <v>0</v>
      </c>
      <c r="G200" s="39" t="n">
        <v>0</v>
      </c>
      <c r="H200" s="39"/>
      <c r="I200" s="39"/>
      <c r="J200" s="39"/>
      <c r="K200" s="39"/>
      <c r="L200" s="39"/>
      <c r="M200" s="39"/>
    </row>
    <row r="201" customFormat="false" ht="18" hidden="false" customHeight="true" outlineLevel="0" collapsed="false">
      <c r="A201" s="44" t="n">
        <v>135</v>
      </c>
      <c r="B201" s="45" t="n">
        <v>46307</v>
      </c>
      <c r="C201" s="46" t="s">
        <v>46</v>
      </c>
      <c r="D201" s="47" t="s">
        <v>266</v>
      </c>
      <c r="E201" s="48" t="n">
        <v>4</v>
      </c>
      <c r="F201" s="26" t="n">
        <f aca="false">'Norms &amp; Assumptions'!B33*E201</f>
        <v>600</v>
      </c>
      <c r="G201" s="27" t="n">
        <f aca="false">'Norms &amp; Assumptions'!B35*E201</f>
        <v>0.72</v>
      </c>
      <c r="H201" s="28"/>
      <c r="I201" s="29"/>
      <c r="J201" s="30" t="str">
        <f aca="false">IF(H201="","",H201-F201)</f>
        <v/>
      </c>
      <c r="K201" s="31" t="str">
        <f aca="false">IF(I201="","",I201-G201)</f>
        <v/>
      </c>
      <c r="L201" s="32" t="str">
        <f aca="false">IF(OR(H201="",F201=0),"",H201/F201)</f>
        <v/>
      </c>
      <c r="M201" s="33"/>
    </row>
    <row r="202" customFormat="false" ht="18" hidden="false" customHeight="true" outlineLevel="0" collapsed="false">
      <c r="A202" s="44" t="n">
        <v>136</v>
      </c>
      <c r="B202" s="45" t="n">
        <v>46308</v>
      </c>
      <c r="C202" s="46" t="s">
        <v>50</v>
      </c>
      <c r="D202" s="47" t="s">
        <v>267</v>
      </c>
      <c r="E202" s="48" t="n">
        <v>4</v>
      </c>
      <c r="F202" s="26" t="n">
        <f aca="false">'Norms &amp; Assumptions'!B33*E202</f>
        <v>600</v>
      </c>
      <c r="G202" s="27" t="n">
        <f aca="false">'Norms &amp; Assumptions'!B35*E202</f>
        <v>0.72</v>
      </c>
      <c r="H202" s="28"/>
      <c r="I202" s="29"/>
      <c r="J202" s="30" t="str">
        <f aca="false">IF(H202="","",H202-F202)</f>
        <v/>
      </c>
      <c r="K202" s="31" t="str">
        <f aca="false">IF(I202="","",I202-G202)</f>
        <v/>
      </c>
      <c r="L202" s="32" t="str">
        <f aca="false">IF(OR(H202="",F202=0),"",H202/F202)</f>
        <v/>
      </c>
      <c r="M202" s="33"/>
    </row>
    <row r="203" customFormat="false" ht="18" hidden="false" customHeight="true" outlineLevel="0" collapsed="false">
      <c r="A203" s="44" t="n">
        <v>137</v>
      </c>
      <c r="B203" s="45" t="n">
        <v>46309</v>
      </c>
      <c r="C203" s="46" t="s">
        <v>55</v>
      </c>
      <c r="D203" s="47" t="s">
        <v>268</v>
      </c>
      <c r="E203" s="48" t="n">
        <v>4</v>
      </c>
      <c r="F203" s="26" t="n">
        <f aca="false">'Norms &amp; Assumptions'!B33*E203</f>
        <v>600</v>
      </c>
      <c r="G203" s="27" t="n">
        <f aca="false">'Norms &amp; Assumptions'!B35*E203</f>
        <v>0.72</v>
      </c>
      <c r="H203" s="28"/>
      <c r="I203" s="29"/>
      <c r="J203" s="30" t="str">
        <f aca="false">IF(H203="","",H203-F203)</f>
        <v/>
      </c>
      <c r="K203" s="31" t="str">
        <f aca="false">IF(I203="","",I203-G203)</f>
        <v/>
      </c>
      <c r="L203" s="32" t="str">
        <f aca="false">IF(OR(H203="",F203=0),"",H203/F203)</f>
        <v/>
      </c>
      <c r="M203" s="33"/>
    </row>
    <row r="204" customFormat="false" ht="18" hidden="false" customHeight="true" outlineLevel="0" collapsed="false">
      <c r="A204" s="44" t="n">
        <v>138</v>
      </c>
      <c r="B204" s="45" t="n">
        <v>46310</v>
      </c>
      <c r="C204" s="46" t="s">
        <v>38</v>
      </c>
      <c r="D204" s="47" t="s">
        <v>269</v>
      </c>
      <c r="E204" s="48" t="n">
        <v>4</v>
      </c>
      <c r="F204" s="26" t="n">
        <f aca="false">'Norms &amp; Assumptions'!B33*E204</f>
        <v>600</v>
      </c>
      <c r="G204" s="27" t="n">
        <f aca="false">'Norms &amp; Assumptions'!B35*E204</f>
        <v>0.72</v>
      </c>
      <c r="H204" s="28"/>
      <c r="I204" s="29"/>
      <c r="J204" s="30" t="str">
        <f aca="false">IF(H204="","",H204-F204)</f>
        <v/>
      </c>
      <c r="K204" s="31" t="str">
        <f aca="false">IF(I204="","",I204-G204)</f>
        <v/>
      </c>
      <c r="L204" s="32" t="str">
        <f aca="false">IF(OR(H204="",F204=0),"",H204/F204)</f>
        <v/>
      </c>
      <c r="M204" s="33"/>
    </row>
    <row r="205" customFormat="false" ht="18" hidden="false" customHeight="true" outlineLevel="0" collapsed="false">
      <c r="A205" s="44" t="n">
        <v>139</v>
      </c>
      <c r="B205" s="45" t="n">
        <v>46311</v>
      </c>
      <c r="C205" s="46" t="s">
        <v>43</v>
      </c>
      <c r="D205" s="47" t="s">
        <v>270</v>
      </c>
      <c r="E205" s="48" t="n">
        <v>4</v>
      </c>
      <c r="F205" s="26" t="n">
        <f aca="false">'Norms &amp; Assumptions'!B33*E205</f>
        <v>600</v>
      </c>
      <c r="G205" s="27" t="n">
        <f aca="false">'Norms &amp; Assumptions'!B35*E205</f>
        <v>0.72</v>
      </c>
      <c r="H205" s="28"/>
      <c r="I205" s="29"/>
      <c r="J205" s="30" t="str">
        <f aca="false">IF(H205="","",H205-F205)</f>
        <v/>
      </c>
      <c r="K205" s="31" t="str">
        <f aca="false">IF(I205="","",I205-G205)</f>
        <v/>
      </c>
      <c r="L205" s="32" t="str">
        <f aca="false">IF(OR(H205="",F205=0),"",H205/F205)</f>
        <v/>
      </c>
      <c r="M205" s="33"/>
    </row>
    <row r="206" customFormat="false" ht="18" hidden="false" customHeight="true" outlineLevel="0" collapsed="false">
      <c r="A206" s="39"/>
      <c r="B206" s="40" t="n">
        <v>46312</v>
      </c>
      <c r="C206" s="41" t="s">
        <v>41</v>
      </c>
      <c r="D206" s="42" t="s">
        <v>129</v>
      </c>
      <c r="E206" s="43" t="n">
        <v>0</v>
      </c>
      <c r="F206" s="39" t="n">
        <v>0</v>
      </c>
      <c r="G206" s="39" t="n">
        <v>0</v>
      </c>
      <c r="H206" s="39"/>
      <c r="I206" s="39"/>
      <c r="J206" s="39"/>
      <c r="K206" s="39"/>
      <c r="L206" s="39"/>
      <c r="M206" s="39"/>
    </row>
    <row r="207" customFormat="false" ht="18" hidden="false" customHeight="true" outlineLevel="0" collapsed="false">
      <c r="A207" s="39"/>
      <c r="B207" s="40" t="n">
        <v>46313</v>
      </c>
      <c r="C207" s="41" t="s">
        <v>52</v>
      </c>
      <c r="D207" s="42" t="s">
        <v>129</v>
      </c>
      <c r="E207" s="43" t="n">
        <v>0</v>
      </c>
      <c r="F207" s="39" t="n">
        <v>0</v>
      </c>
      <c r="G207" s="39" t="n">
        <v>0</v>
      </c>
      <c r="H207" s="39"/>
      <c r="I207" s="39"/>
      <c r="J207" s="39"/>
      <c r="K207" s="39"/>
      <c r="L207" s="39"/>
      <c r="M207" s="39"/>
    </row>
    <row r="208" customFormat="false" ht="18" hidden="false" customHeight="true" outlineLevel="0" collapsed="false">
      <c r="A208" s="44" t="n">
        <v>140</v>
      </c>
      <c r="B208" s="45" t="n">
        <v>46314</v>
      </c>
      <c r="C208" s="46" t="s">
        <v>46</v>
      </c>
      <c r="D208" s="47" t="s">
        <v>271</v>
      </c>
      <c r="E208" s="48" t="n">
        <v>4</v>
      </c>
      <c r="F208" s="26" t="n">
        <f aca="false">'Norms &amp; Assumptions'!B33*E208</f>
        <v>600</v>
      </c>
      <c r="G208" s="27" t="n">
        <f aca="false">'Norms &amp; Assumptions'!B35*E208</f>
        <v>0.72</v>
      </c>
      <c r="H208" s="28"/>
      <c r="I208" s="29"/>
      <c r="J208" s="30" t="str">
        <f aca="false">IF(H208="","",H208-F208)</f>
        <v/>
      </c>
      <c r="K208" s="31" t="str">
        <f aca="false">IF(I208="","",I208-G208)</f>
        <v/>
      </c>
      <c r="L208" s="32" t="str">
        <f aca="false">IF(OR(H208="",F208=0),"",H208/F208)</f>
        <v/>
      </c>
      <c r="M208" s="33"/>
    </row>
    <row r="209" customFormat="false" ht="18" hidden="false" customHeight="true" outlineLevel="0" collapsed="false">
      <c r="A209" s="44" t="n">
        <v>141</v>
      </c>
      <c r="B209" s="45" t="n">
        <v>46315</v>
      </c>
      <c r="C209" s="46" t="s">
        <v>50</v>
      </c>
      <c r="D209" s="47" t="s">
        <v>272</v>
      </c>
      <c r="E209" s="48" t="n">
        <v>4</v>
      </c>
      <c r="F209" s="26" t="n">
        <f aca="false">'Norms &amp; Assumptions'!B33*E209</f>
        <v>600</v>
      </c>
      <c r="G209" s="27" t="n">
        <f aca="false">'Norms &amp; Assumptions'!B35*E209</f>
        <v>0.72</v>
      </c>
      <c r="H209" s="28"/>
      <c r="I209" s="29"/>
      <c r="J209" s="30" t="str">
        <f aca="false">IF(H209="","",H209-F209)</f>
        <v/>
      </c>
      <c r="K209" s="31" t="str">
        <f aca="false">IF(I209="","",I209-G209)</f>
        <v/>
      </c>
      <c r="L209" s="32" t="str">
        <f aca="false">IF(OR(H209="",F209=0),"",H209/F209)</f>
        <v/>
      </c>
      <c r="M209" s="33"/>
    </row>
    <row r="210" customFormat="false" ht="18" hidden="false" customHeight="true" outlineLevel="0" collapsed="false">
      <c r="A210" s="44" t="n">
        <v>142</v>
      </c>
      <c r="B210" s="45" t="n">
        <v>46316</v>
      </c>
      <c r="C210" s="46" t="s">
        <v>55</v>
      </c>
      <c r="D210" s="47" t="s">
        <v>273</v>
      </c>
      <c r="E210" s="48" t="n">
        <v>4</v>
      </c>
      <c r="F210" s="26" t="n">
        <f aca="false">'Norms &amp; Assumptions'!B33*E210</f>
        <v>600</v>
      </c>
      <c r="G210" s="27" t="n">
        <f aca="false">'Norms &amp; Assumptions'!B35*E210</f>
        <v>0.72</v>
      </c>
      <c r="H210" s="28"/>
      <c r="I210" s="29"/>
      <c r="J210" s="30" t="str">
        <f aca="false">IF(H210="","",H210-F210)</f>
        <v/>
      </c>
      <c r="K210" s="31" t="str">
        <f aca="false">IF(I210="","",I210-G210)</f>
        <v/>
      </c>
      <c r="L210" s="32" t="str">
        <f aca="false">IF(OR(H210="",F210=0),"",H210/F210)</f>
        <v/>
      </c>
      <c r="M210" s="33"/>
    </row>
    <row r="211" customFormat="false" ht="18" hidden="false" customHeight="true" outlineLevel="0" collapsed="false">
      <c r="A211" s="44" t="n">
        <v>143</v>
      </c>
      <c r="B211" s="45" t="n">
        <v>46317</v>
      </c>
      <c r="C211" s="46" t="s">
        <v>38</v>
      </c>
      <c r="D211" s="47" t="s">
        <v>274</v>
      </c>
      <c r="E211" s="48" t="n">
        <v>4</v>
      </c>
      <c r="F211" s="26" t="n">
        <f aca="false">'Norms &amp; Assumptions'!B33*E211</f>
        <v>600</v>
      </c>
      <c r="G211" s="27" t="n">
        <f aca="false">'Norms &amp; Assumptions'!B35*E211</f>
        <v>0.72</v>
      </c>
      <c r="H211" s="28"/>
      <c r="I211" s="29"/>
      <c r="J211" s="30" t="str">
        <f aca="false">IF(H211="","",H211-F211)</f>
        <v/>
      </c>
      <c r="K211" s="31" t="str">
        <f aca="false">IF(I211="","",I211-G211)</f>
        <v/>
      </c>
      <c r="L211" s="32" t="str">
        <f aca="false">IF(OR(H211="",F211=0),"",H211/F211)</f>
        <v/>
      </c>
      <c r="M211" s="33"/>
    </row>
    <row r="212" customFormat="false" ht="18" hidden="false" customHeight="true" outlineLevel="0" collapsed="false">
      <c r="A212" s="44" t="n">
        <v>144</v>
      </c>
      <c r="B212" s="45" t="n">
        <v>46318</v>
      </c>
      <c r="C212" s="46" t="s">
        <v>43</v>
      </c>
      <c r="D212" s="47" t="s">
        <v>275</v>
      </c>
      <c r="E212" s="48" t="n">
        <v>4</v>
      </c>
      <c r="F212" s="26" t="n">
        <f aca="false">'Norms &amp; Assumptions'!B33*E212</f>
        <v>600</v>
      </c>
      <c r="G212" s="27" t="n">
        <f aca="false">'Norms &amp; Assumptions'!B35*E212</f>
        <v>0.72</v>
      </c>
      <c r="H212" s="28"/>
      <c r="I212" s="29"/>
      <c r="J212" s="30" t="str">
        <f aca="false">IF(H212="","",H212-F212)</f>
        <v/>
      </c>
      <c r="K212" s="31" t="str">
        <f aca="false">IF(I212="","",I212-G212)</f>
        <v/>
      </c>
      <c r="L212" s="32" t="str">
        <f aca="false">IF(OR(H212="",F212=0),"",H212/F212)</f>
        <v/>
      </c>
      <c r="M212" s="33"/>
    </row>
    <row r="213" customFormat="false" ht="18" hidden="false" customHeight="true" outlineLevel="0" collapsed="false">
      <c r="A213" s="39"/>
      <c r="B213" s="40" t="n">
        <v>46319</v>
      </c>
      <c r="C213" s="41" t="s">
        <v>41</v>
      </c>
      <c r="D213" s="42" t="s">
        <v>129</v>
      </c>
      <c r="E213" s="43" t="n">
        <v>0</v>
      </c>
      <c r="F213" s="39" t="n">
        <v>0</v>
      </c>
      <c r="G213" s="39" t="n">
        <v>0</v>
      </c>
      <c r="H213" s="39"/>
      <c r="I213" s="39"/>
      <c r="J213" s="39"/>
      <c r="K213" s="39"/>
      <c r="L213" s="39"/>
      <c r="M213" s="39"/>
    </row>
    <row r="214" customFormat="false" ht="18" hidden="false" customHeight="true" outlineLevel="0" collapsed="false">
      <c r="A214" s="39"/>
      <c r="B214" s="40" t="n">
        <v>46320</v>
      </c>
      <c r="C214" s="41" t="s">
        <v>52</v>
      </c>
      <c r="D214" s="42" t="s">
        <v>129</v>
      </c>
      <c r="E214" s="43" t="n">
        <v>0</v>
      </c>
      <c r="F214" s="39" t="n">
        <v>0</v>
      </c>
      <c r="G214" s="39" t="n">
        <v>0</v>
      </c>
      <c r="H214" s="39"/>
      <c r="I214" s="39"/>
      <c r="J214" s="39"/>
      <c r="K214" s="39"/>
      <c r="L214" s="39"/>
      <c r="M214" s="39"/>
    </row>
    <row r="215" customFormat="false" ht="18" hidden="false" customHeight="true" outlineLevel="0" collapsed="false">
      <c r="A215" s="44" t="n">
        <v>145</v>
      </c>
      <c r="B215" s="45" t="n">
        <v>46321</v>
      </c>
      <c r="C215" s="46" t="s">
        <v>46</v>
      </c>
      <c r="D215" s="47" t="s">
        <v>276</v>
      </c>
      <c r="E215" s="48" t="n">
        <v>4</v>
      </c>
      <c r="F215" s="26" t="n">
        <f aca="false">'Norms &amp; Assumptions'!B33*E215</f>
        <v>600</v>
      </c>
      <c r="G215" s="27" t="n">
        <f aca="false">'Norms &amp; Assumptions'!B35*E215</f>
        <v>0.72</v>
      </c>
      <c r="H215" s="28"/>
      <c r="I215" s="29"/>
      <c r="J215" s="30" t="str">
        <f aca="false">IF(H215="","",H215-F215)</f>
        <v/>
      </c>
      <c r="K215" s="31" t="str">
        <f aca="false">IF(I215="","",I215-G215)</f>
        <v/>
      </c>
      <c r="L215" s="32" t="str">
        <f aca="false">IF(OR(H215="",F215=0),"",H215/F215)</f>
        <v/>
      </c>
      <c r="M215" s="33"/>
    </row>
    <row r="216" customFormat="false" ht="18" hidden="false" customHeight="true" outlineLevel="0" collapsed="false">
      <c r="A216" s="44" t="n">
        <v>146</v>
      </c>
      <c r="B216" s="45" t="n">
        <v>46322</v>
      </c>
      <c r="C216" s="46" t="s">
        <v>50</v>
      </c>
      <c r="D216" s="47" t="s">
        <v>277</v>
      </c>
      <c r="E216" s="48" t="n">
        <v>4</v>
      </c>
      <c r="F216" s="26" t="n">
        <f aca="false">'Norms &amp; Assumptions'!B33*E216</f>
        <v>600</v>
      </c>
      <c r="G216" s="27" t="n">
        <f aca="false">'Norms &amp; Assumptions'!B35*E216</f>
        <v>0.72</v>
      </c>
      <c r="H216" s="28"/>
      <c r="I216" s="29"/>
      <c r="J216" s="30" t="str">
        <f aca="false">IF(H216="","",H216-F216)</f>
        <v/>
      </c>
      <c r="K216" s="31" t="str">
        <f aca="false">IF(I216="","",I216-G216)</f>
        <v/>
      </c>
      <c r="L216" s="32" t="str">
        <f aca="false">IF(OR(H216="",F216=0),"",H216/F216)</f>
        <v/>
      </c>
      <c r="M216" s="33"/>
    </row>
    <row r="217" customFormat="false" ht="18" hidden="false" customHeight="true" outlineLevel="0" collapsed="false">
      <c r="A217" s="44" t="n">
        <v>147</v>
      </c>
      <c r="B217" s="45" t="n">
        <v>46323</v>
      </c>
      <c r="C217" s="46" t="s">
        <v>55</v>
      </c>
      <c r="D217" s="47" t="s">
        <v>278</v>
      </c>
      <c r="E217" s="48" t="n">
        <v>4</v>
      </c>
      <c r="F217" s="26" t="n">
        <f aca="false">'Norms &amp; Assumptions'!B33*E217</f>
        <v>600</v>
      </c>
      <c r="G217" s="27" t="n">
        <f aca="false">'Norms &amp; Assumptions'!B35*E217</f>
        <v>0.72</v>
      </c>
      <c r="H217" s="28"/>
      <c r="I217" s="29"/>
      <c r="J217" s="30" t="str">
        <f aca="false">IF(H217="","",H217-F217)</f>
        <v/>
      </c>
      <c r="K217" s="31" t="str">
        <f aca="false">IF(I217="","",I217-G217)</f>
        <v/>
      </c>
      <c r="L217" s="32" t="str">
        <f aca="false">IF(OR(H217="",F217=0),"",H217/F217)</f>
        <v/>
      </c>
      <c r="M217" s="33"/>
    </row>
    <row r="218" customFormat="false" ht="18" hidden="false" customHeight="true" outlineLevel="0" collapsed="false">
      <c r="A218" s="44" t="n">
        <v>148</v>
      </c>
      <c r="B218" s="45" t="n">
        <v>46324</v>
      </c>
      <c r="C218" s="46" t="s">
        <v>38</v>
      </c>
      <c r="D218" s="47" t="s">
        <v>279</v>
      </c>
      <c r="E218" s="48" t="n">
        <v>4</v>
      </c>
      <c r="F218" s="26" t="n">
        <f aca="false">'Norms &amp; Assumptions'!B33*E218</f>
        <v>600</v>
      </c>
      <c r="G218" s="27" t="n">
        <f aca="false">'Norms &amp; Assumptions'!B35*E218</f>
        <v>0.72</v>
      </c>
      <c r="H218" s="28"/>
      <c r="I218" s="29"/>
      <c r="J218" s="30" t="str">
        <f aca="false">IF(H218="","",H218-F218)</f>
        <v/>
      </c>
      <c r="K218" s="31" t="str">
        <f aca="false">IF(I218="","",I218-G218)</f>
        <v/>
      </c>
      <c r="L218" s="32" t="str">
        <f aca="false">IF(OR(H218="",F218=0),"",H218/F218)</f>
        <v/>
      </c>
      <c r="M218" s="33"/>
    </row>
    <row r="219" customFormat="false" ht="18" hidden="false" customHeight="true" outlineLevel="0" collapsed="false">
      <c r="A219" s="44" t="n">
        <v>149</v>
      </c>
      <c r="B219" s="45" t="n">
        <v>46325</v>
      </c>
      <c r="C219" s="46" t="s">
        <v>43</v>
      </c>
      <c r="D219" s="47" t="s">
        <v>280</v>
      </c>
      <c r="E219" s="48" t="n">
        <v>4</v>
      </c>
      <c r="F219" s="26" t="n">
        <f aca="false">'Norms &amp; Assumptions'!B33*E219</f>
        <v>600</v>
      </c>
      <c r="G219" s="27" t="n">
        <f aca="false">'Norms &amp; Assumptions'!B35*E219</f>
        <v>0.72</v>
      </c>
      <c r="H219" s="28"/>
      <c r="I219" s="29"/>
      <c r="J219" s="30" t="str">
        <f aca="false">IF(H219="","",H219-F219)</f>
        <v/>
      </c>
      <c r="K219" s="31" t="str">
        <f aca="false">IF(I219="","",I219-G219)</f>
        <v/>
      </c>
      <c r="L219" s="32" t="str">
        <f aca="false">IF(OR(H219="",F219=0),"",H219/F219)</f>
        <v/>
      </c>
      <c r="M219" s="33"/>
    </row>
    <row r="220" customFormat="false" ht="18" hidden="false" customHeight="true" outlineLevel="0" collapsed="false">
      <c r="A220" s="39"/>
      <c r="B220" s="40" t="n">
        <v>46326</v>
      </c>
      <c r="C220" s="41" t="s">
        <v>41</v>
      </c>
      <c r="D220" s="42" t="s">
        <v>129</v>
      </c>
      <c r="E220" s="43" t="n">
        <v>0</v>
      </c>
      <c r="F220" s="39" t="n">
        <v>0</v>
      </c>
      <c r="G220" s="39" t="n">
        <v>0</v>
      </c>
      <c r="H220" s="39"/>
      <c r="I220" s="39"/>
      <c r="J220" s="39"/>
      <c r="K220" s="39"/>
      <c r="L220" s="39"/>
      <c r="M220" s="39"/>
    </row>
    <row r="221" customFormat="false" ht="21.75" hidden="false" customHeight="true" outlineLevel="0" collapsed="false">
      <c r="A221" s="49" t="s">
        <v>281</v>
      </c>
      <c r="B221" s="49"/>
      <c r="C221" s="49"/>
      <c r="D221" s="49"/>
      <c r="E221" s="50"/>
      <c r="F221" s="51" t="n">
        <f aca="false">SUMIF(E5:E220,"&gt;0",F5:F220)</f>
        <v>87900</v>
      </c>
      <c r="G221" s="52" t="n">
        <f aca="false">SUMIF(E5:E220,"&gt;0",G5:G220)</f>
        <v>105.48</v>
      </c>
      <c r="H221" s="51" t="n">
        <f aca="false">SUM(H5:H220)</f>
        <v>0</v>
      </c>
      <c r="I221" s="52" t="n">
        <f aca="false">SUM(I5:I220)</f>
        <v>0</v>
      </c>
      <c r="J221" s="53" t="n">
        <f aca="false">SUM(J5:J220)</f>
        <v>0</v>
      </c>
      <c r="K221" s="54" t="n">
        <f aca="false">SUM(K5:K220)</f>
        <v>0</v>
      </c>
      <c r="L221" s="55" t="n">
        <f aca="false">IFERROR(H221/F221,"")</f>
        <v>0</v>
      </c>
      <c r="M221" s="50"/>
    </row>
  </sheetData>
  <mergeCells count="5">
    <mergeCell ref="A1:M1"/>
    <mergeCell ref="A2:M2"/>
    <mergeCell ref="A3:F3"/>
    <mergeCell ref="G3:M3"/>
    <mergeCell ref="A221:D221"/>
  </mergeCells>
  <conditionalFormatting sqref="L5:L220">
    <cfRule type="cellIs" priority="2" operator="greaterThanOrEqual" aboveAverage="0" equalAverage="0" bottom="0" percent="0" rank="0" text="" dxfId="0">
      <formula>0.9</formula>
    </cfRule>
    <cfRule type="cellIs" priority="3" operator="between" aboveAverage="0" equalAverage="0" bottom="0" percent="0" rank="0" text="" dxfId="1">
      <formula>0.75</formula>
      <formula>0.89</formula>
    </cfRule>
    <cfRule type="cellIs" priority="4" operator="lessThan" aboveAverage="0" equalAverage="0" bottom="0" percent="0" rank="0" text="" dxfId="2">
      <formula>0.75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9A825"/>
    <pageSetUpPr fitToPage="false"/>
  </sheetPr>
  <dimension ref="A1:L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2"/>
    <col collapsed="false" customWidth="true" hidden="false" outlineLevel="0" max="4" min="3" style="1" width="12"/>
    <col collapsed="false" customWidth="true" hidden="false" outlineLevel="0" max="8" min="5" style="1" width="14"/>
    <col collapsed="false" customWidth="true" hidden="false" outlineLevel="0" max="10" min="9" style="1" width="16"/>
    <col collapsed="false" customWidth="true" hidden="false" outlineLevel="0" max="12" min="11" style="1" width="18"/>
  </cols>
  <sheetData>
    <row r="1" customFormat="false" ht="42" hidden="false" customHeight="true" outlineLevel="0" collapsed="false">
      <c r="A1" s="2" t="s">
        <v>282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21.75" hidden="false" customHeight="true" outlineLevel="0" collapsed="false">
      <c r="A2" s="3" t="s">
        <v>283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4" customFormat="false" ht="15" hidden="false" customHeight="true" outlineLevel="0" collapsed="false">
      <c r="A4" s="19" t="s">
        <v>284</v>
      </c>
      <c r="B4" s="19"/>
      <c r="C4" s="56" t="s">
        <v>285</v>
      </c>
      <c r="D4" s="56"/>
      <c r="E4" s="56"/>
      <c r="F4" s="56"/>
      <c r="G4" s="18" t="s">
        <v>286</v>
      </c>
      <c r="H4" s="18"/>
      <c r="I4" s="18"/>
      <c r="J4" s="19" t="s">
        <v>287</v>
      </c>
      <c r="K4" s="19"/>
      <c r="L4" s="19"/>
    </row>
    <row r="5" customFormat="false" ht="31.5" hidden="false" customHeight="true" outlineLevel="0" collapsed="false">
      <c r="A5" s="20" t="s">
        <v>288</v>
      </c>
      <c r="B5" s="20" t="s">
        <v>289</v>
      </c>
      <c r="C5" s="20" t="s">
        <v>290</v>
      </c>
      <c r="D5" s="20" t="s">
        <v>291</v>
      </c>
      <c r="E5" s="20" t="s">
        <v>292</v>
      </c>
      <c r="F5" s="20" t="s">
        <v>293</v>
      </c>
      <c r="G5" s="20" t="s">
        <v>294</v>
      </c>
      <c r="H5" s="20" t="s">
        <v>295</v>
      </c>
      <c r="I5" s="20" t="s">
        <v>296</v>
      </c>
      <c r="J5" s="20" t="s">
        <v>297</v>
      </c>
      <c r="K5" s="20" t="s">
        <v>298</v>
      </c>
      <c r="L5" s="20" t="s">
        <v>299</v>
      </c>
    </row>
    <row r="6" customFormat="false" ht="19.5" hidden="false" customHeight="true" outlineLevel="0" collapsed="false">
      <c r="A6" s="57" t="n">
        <v>1</v>
      </c>
      <c r="B6" s="58" t="s">
        <v>300</v>
      </c>
      <c r="C6" s="59"/>
      <c r="D6" s="60" t="n">
        <v>800</v>
      </c>
      <c r="E6" s="61" t="str">
        <f aca="false">IF(C6="","",C6*D6)</f>
        <v/>
      </c>
      <c r="F6" s="62" t="str">
        <f aca="false">IF(E6="","",E6*'Norms &amp; Assumptions'!B34)</f>
        <v/>
      </c>
      <c r="G6" s="63" t="str">
        <f aca="false">IF(E6="","",ROUNDUP(E6/(2*'Norms &amp; Assumptions'!B33),0))</f>
        <v/>
      </c>
      <c r="H6" s="64"/>
      <c r="I6" s="63" t="n">
        <f aca="false">'Norms &amp; Assumptions'!B33</f>
        <v>150</v>
      </c>
      <c r="J6" s="63" t="str">
        <f aca="false">IF(E6="","",ROUNDUP(E6/(4*'Norms &amp; Assumptions'!B33),0))</f>
        <v/>
      </c>
      <c r="K6" s="64"/>
      <c r="L6" s="63" t="n">
        <f aca="false">'Norms &amp; Assumptions'!B33</f>
        <v>150</v>
      </c>
    </row>
    <row r="7" customFormat="false" ht="19.5" hidden="false" customHeight="true" outlineLevel="0" collapsed="false">
      <c r="A7" s="57" t="n">
        <v>2</v>
      </c>
      <c r="B7" s="58" t="s">
        <v>301</v>
      </c>
      <c r="C7" s="59"/>
      <c r="D7" s="60" t="n">
        <v>800</v>
      </c>
      <c r="E7" s="61" t="str">
        <f aca="false">IF(C7="","",C7*D7)</f>
        <v/>
      </c>
      <c r="F7" s="62" t="str">
        <f aca="false">IF(E7="","",E7*'Norms &amp; Assumptions'!B34)</f>
        <v/>
      </c>
      <c r="G7" s="63" t="str">
        <f aca="false">IF(E7="","",ROUNDUP(E7/(2*'Norms &amp; Assumptions'!B33),0))</f>
        <v/>
      </c>
      <c r="H7" s="64"/>
      <c r="I7" s="63" t="n">
        <f aca="false">'Norms &amp; Assumptions'!B33</f>
        <v>150</v>
      </c>
      <c r="J7" s="63" t="str">
        <f aca="false">IF(E7="","",ROUNDUP(E7/(4*'Norms &amp; Assumptions'!B33),0))</f>
        <v/>
      </c>
      <c r="K7" s="64"/>
      <c r="L7" s="63" t="n">
        <f aca="false">'Norms &amp; Assumptions'!B33</f>
        <v>150</v>
      </c>
    </row>
    <row r="8" customFormat="false" ht="19.5" hidden="false" customHeight="true" outlineLevel="0" collapsed="false">
      <c r="A8" s="57" t="n">
        <v>3</v>
      </c>
      <c r="B8" s="58" t="s">
        <v>302</v>
      </c>
      <c r="C8" s="59"/>
      <c r="D8" s="60" t="n">
        <v>800</v>
      </c>
      <c r="E8" s="61" t="str">
        <f aca="false">IF(C8="","",C8*D8)</f>
        <v/>
      </c>
      <c r="F8" s="62" t="str">
        <f aca="false">IF(E8="","",E8*'Norms &amp; Assumptions'!B34)</f>
        <v/>
      </c>
      <c r="G8" s="63" t="str">
        <f aca="false">IF(E8="","",ROUNDUP(E8/(2*'Norms &amp; Assumptions'!B33),0))</f>
        <v/>
      </c>
      <c r="H8" s="64"/>
      <c r="I8" s="63" t="n">
        <f aca="false">'Norms &amp; Assumptions'!B33</f>
        <v>150</v>
      </c>
      <c r="J8" s="63" t="str">
        <f aca="false">IF(E8="","",ROUNDUP(E8/(4*'Norms &amp; Assumptions'!B33),0))</f>
        <v/>
      </c>
      <c r="K8" s="64"/>
      <c r="L8" s="63" t="n">
        <f aca="false">'Norms &amp; Assumptions'!B33</f>
        <v>150</v>
      </c>
    </row>
    <row r="9" customFormat="false" ht="19.5" hidden="false" customHeight="true" outlineLevel="0" collapsed="false">
      <c r="A9" s="57" t="n">
        <v>4</v>
      </c>
      <c r="B9" s="58" t="s">
        <v>303</v>
      </c>
      <c r="C9" s="59"/>
      <c r="D9" s="60" t="n">
        <v>800</v>
      </c>
      <c r="E9" s="61" t="str">
        <f aca="false">IF(C9="","",C9*D9)</f>
        <v/>
      </c>
      <c r="F9" s="62" t="str">
        <f aca="false">IF(E9="","",E9*'Norms &amp; Assumptions'!B34)</f>
        <v/>
      </c>
      <c r="G9" s="63" t="str">
        <f aca="false">IF(E9="","",ROUNDUP(E9/(2*'Norms &amp; Assumptions'!B33),0))</f>
        <v/>
      </c>
      <c r="H9" s="64"/>
      <c r="I9" s="63" t="n">
        <f aca="false">'Norms &amp; Assumptions'!B33</f>
        <v>150</v>
      </c>
      <c r="J9" s="63" t="str">
        <f aca="false">IF(E9="","",ROUNDUP(E9/(4*'Norms &amp; Assumptions'!B33),0))</f>
        <v/>
      </c>
      <c r="K9" s="64"/>
      <c r="L9" s="63" t="n">
        <f aca="false">'Norms &amp; Assumptions'!B33</f>
        <v>150</v>
      </c>
    </row>
    <row r="10" customFormat="false" ht="19.5" hidden="false" customHeight="true" outlineLevel="0" collapsed="false">
      <c r="A10" s="57" t="n">
        <v>5</v>
      </c>
      <c r="B10" s="58" t="s">
        <v>304</v>
      </c>
      <c r="C10" s="59" t="n">
        <v>12.68</v>
      </c>
      <c r="D10" s="60" t="n">
        <v>800</v>
      </c>
      <c r="E10" s="61" t="n">
        <f aca="false">IF(C10="","",C10*D10)</f>
        <v>10144</v>
      </c>
      <c r="F10" s="62" t="n">
        <f aca="false">IF(E10="","",E10*'Norms &amp; Assumptions'!B34)</f>
        <v>3550.4</v>
      </c>
      <c r="G10" s="63" t="n">
        <f aca="false">IF(E10="","",ROUNDUP(E10/(2*'Norms &amp; Assumptions'!B33),0))</f>
        <v>34</v>
      </c>
      <c r="H10" s="64"/>
      <c r="I10" s="63" t="n">
        <f aca="false">'Norms &amp; Assumptions'!B33</f>
        <v>150</v>
      </c>
      <c r="J10" s="63" t="n">
        <f aca="false">IF(E10="","",ROUNDUP(E10/(4*'Norms &amp; Assumptions'!B33),0))</f>
        <v>17</v>
      </c>
      <c r="K10" s="64"/>
      <c r="L10" s="63" t="n">
        <f aca="false">'Norms &amp; Assumptions'!B33</f>
        <v>150</v>
      </c>
    </row>
    <row r="11" customFormat="false" ht="19.5" hidden="false" customHeight="true" outlineLevel="0" collapsed="false">
      <c r="A11" s="57" t="n">
        <v>6</v>
      </c>
      <c r="B11" s="58" t="s">
        <v>305</v>
      </c>
      <c r="C11" s="59" t="n">
        <v>3.97</v>
      </c>
      <c r="D11" s="60" t="n">
        <v>800</v>
      </c>
      <c r="E11" s="61" t="n">
        <f aca="false">IF(C11="","",C11*D11)</f>
        <v>3176</v>
      </c>
      <c r="F11" s="62" t="n">
        <f aca="false">IF(E11="","",E11*'Norms &amp; Assumptions'!B34)</f>
        <v>1111.6</v>
      </c>
      <c r="G11" s="63" t="n">
        <f aca="false">IF(E11="","",ROUNDUP(E11/(2*'Norms &amp; Assumptions'!B33),0))</f>
        <v>11</v>
      </c>
      <c r="H11" s="64"/>
      <c r="I11" s="63" t="n">
        <f aca="false">'Norms &amp; Assumptions'!B33</f>
        <v>150</v>
      </c>
      <c r="J11" s="63" t="n">
        <f aca="false">IF(E11="","",ROUNDUP(E11/(4*'Norms &amp; Assumptions'!B33),0))</f>
        <v>6</v>
      </c>
      <c r="K11" s="64"/>
      <c r="L11" s="63" t="n">
        <f aca="false">'Norms &amp; Assumptions'!B33</f>
        <v>150</v>
      </c>
    </row>
    <row r="12" customFormat="false" ht="19.5" hidden="false" customHeight="true" outlineLevel="0" collapsed="false">
      <c r="A12" s="57" t="n">
        <v>7</v>
      </c>
      <c r="B12" s="58" t="s">
        <v>306</v>
      </c>
      <c r="C12" s="59" t="n">
        <v>2.4</v>
      </c>
      <c r="D12" s="60" t="n">
        <v>800</v>
      </c>
      <c r="E12" s="61" t="n">
        <f aca="false">IF(C12="","",C12*D12)</f>
        <v>1920</v>
      </c>
      <c r="F12" s="62" t="n">
        <f aca="false">IF(E12="","",E12*'Norms &amp; Assumptions'!B34)</f>
        <v>672</v>
      </c>
      <c r="G12" s="63" t="n">
        <f aca="false">IF(E12="","",ROUNDUP(E12/(2*'Norms &amp; Assumptions'!B33),0))</f>
        <v>7</v>
      </c>
      <c r="H12" s="64"/>
      <c r="I12" s="63" t="n">
        <f aca="false">'Norms &amp; Assumptions'!B33</f>
        <v>150</v>
      </c>
      <c r="J12" s="63" t="n">
        <f aca="false">IF(E12="","",ROUNDUP(E12/(4*'Norms &amp; Assumptions'!B33),0))</f>
        <v>4</v>
      </c>
      <c r="K12" s="64"/>
      <c r="L12" s="63" t="n">
        <f aca="false">'Norms &amp; Assumptions'!B33</f>
        <v>150</v>
      </c>
    </row>
    <row r="13" customFormat="false" ht="19.5" hidden="false" customHeight="true" outlineLevel="0" collapsed="false">
      <c r="A13" s="57" t="n">
        <v>8</v>
      </c>
      <c r="B13" s="58" t="s">
        <v>307</v>
      </c>
      <c r="C13" s="59" t="n">
        <v>0.863</v>
      </c>
      <c r="D13" s="60" t="n">
        <v>800</v>
      </c>
      <c r="E13" s="61" t="n">
        <f aca="false">IF(C13="","",C13*D13)</f>
        <v>690.4</v>
      </c>
      <c r="F13" s="62" t="n">
        <f aca="false">IF(E13="","",E13*'Norms &amp; Assumptions'!B34)</f>
        <v>241.64</v>
      </c>
      <c r="G13" s="63" t="n">
        <f aca="false">IF(E13="","",ROUNDUP(E13/(2*'Norms &amp; Assumptions'!B33),0))</f>
        <v>3</v>
      </c>
      <c r="H13" s="64"/>
      <c r="I13" s="63" t="n">
        <f aca="false">'Norms &amp; Assumptions'!B33</f>
        <v>150</v>
      </c>
      <c r="J13" s="63" t="n">
        <f aca="false">IF(E13="","",ROUNDUP(E13/(4*'Norms &amp; Assumptions'!B33),0))</f>
        <v>2</v>
      </c>
      <c r="K13" s="64"/>
      <c r="L13" s="63" t="n">
        <f aca="false">'Norms &amp; Assumptions'!B33</f>
        <v>150</v>
      </c>
    </row>
    <row r="14" customFormat="false" ht="19.5" hidden="false" customHeight="true" outlineLevel="0" collapsed="false">
      <c r="A14" s="57" t="n">
        <v>9</v>
      </c>
      <c r="B14" s="58" t="s">
        <v>308</v>
      </c>
      <c r="C14" s="59" t="n">
        <v>2.503</v>
      </c>
      <c r="D14" s="60" t="n">
        <v>800</v>
      </c>
      <c r="E14" s="61" t="n">
        <f aca="false">IF(C14="","",C14*D14)</f>
        <v>2002.4</v>
      </c>
      <c r="F14" s="62" t="n">
        <f aca="false">IF(E14="","",E14*'Norms &amp; Assumptions'!B34)</f>
        <v>700.84</v>
      </c>
      <c r="G14" s="63" t="n">
        <f aca="false">IF(E14="","",ROUNDUP(E14/(2*'Norms &amp; Assumptions'!B33),0))</f>
        <v>7</v>
      </c>
      <c r="H14" s="64"/>
      <c r="I14" s="63" t="n">
        <f aca="false">'Norms &amp; Assumptions'!B33</f>
        <v>150</v>
      </c>
      <c r="J14" s="63" t="n">
        <f aca="false">IF(E14="","",ROUNDUP(E14/(4*'Norms &amp; Assumptions'!B33),0))</f>
        <v>4</v>
      </c>
      <c r="K14" s="64"/>
      <c r="L14" s="63" t="n">
        <f aca="false">'Norms &amp; Assumptions'!B33</f>
        <v>150</v>
      </c>
    </row>
    <row r="15" customFormat="false" ht="19.5" hidden="false" customHeight="true" outlineLevel="0" collapsed="false">
      <c r="A15" s="57" t="n">
        <v>10</v>
      </c>
      <c r="B15" s="58" t="s">
        <v>309</v>
      </c>
      <c r="C15" s="59" t="n">
        <v>0.317</v>
      </c>
      <c r="D15" s="60" t="n">
        <v>800</v>
      </c>
      <c r="E15" s="61" t="n">
        <f aca="false">IF(C15="","",C15*D15)</f>
        <v>253.6</v>
      </c>
      <c r="F15" s="62" t="n">
        <f aca="false">IF(E15="","",E15*'Norms &amp; Assumptions'!B34)</f>
        <v>88.76</v>
      </c>
      <c r="G15" s="63" t="n">
        <f aca="false">IF(E15="","",ROUNDUP(E15/(2*'Norms &amp; Assumptions'!B33),0))</f>
        <v>1</v>
      </c>
      <c r="H15" s="64"/>
      <c r="I15" s="63" t="n">
        <f aca="false">'Norms &amp; Assumptions'!B33</f>
        <v>150</v>
      </c>
      <c r="J15" s="63" t="n">
        <f aca="false">IF(E15="","",ROUNDUP(E15/(4*'Norms &amp; Assumptions'!B33),0))</f>
        <v>1</v>
      </c>
      <c r="K15" s="64"/>
      <c r="L15" s="63" t="n">
        <f aca="false">'Norms &amp; Assumptions'!B33</f>
        <v>150</v>
      </c>
    </row>
    <row r="16" customFormat="false" ht="19.5" hidden="false" customHeight="true" outlineLevel="0" collapsed="false">
      <c r="A16" s="57" t="n">
        <v>11</v>
      </c>
      <c r="B16" s="58" t="s">
        <v>310</v>
      </c>
      <c r="C16" s="59" t="n">
        <v>5</v>
      </c>
      <c r="D16" s="60" t="n">
        <v>800</v>
      </c>
      <c r="E16" s="61" t="n">
        <f aca="false">IF(C16="","",C16*D16)</f>
        <v>4000</v>
      </c>
      <c r="F16" s="62" t="n">
        <f aca="false">IF(E16="","",E16*'Norms &amp; Assumptions'!B34)</f>
        <v>1400</v>
      </c>
      <c r="G16" s="63" t="n">
        <f aca="false">IF(E16="","",ROUNDUP(E16/(2*'Norms &amp; Assumptions'!B33),0))</f>
        <v>14</v>
      </c>
      <c r="H16" s="64"/>
      <c r="I16" s="63" t="n">
        <f aca="false">'Norms &amp; Assumptions'!B33</f>
        <v>150</v>
      </c>
      <c r="J16" s="63" t="n">
        <f aca="false">IF(E16="","",ROUNDUP(E16/(4*'Norms &amp; Assumptions'!B33),0))</f>
        <v>7</v>
      </c>
      <c r="K16" s="64"/>
      <c r="L16" s="63" t="n">
        <f aca="false">'Norms &amp; Assumptions'!B33</f>
        <v>150</v>
      </c>
    </row>
    <row r="17" customFormat="false" ht="19.5" hidden="false" customHeight="true" outlineLevel="0" collapsed="false">
      <c r="A17" s="57" t="n">
        <v>12</v>
      </c>
      <c r="B17" s="58" t="s">
        <v>311</v>
      </c>
      <c r="C17" s="59" t="n">
        <v>42.9</v>
      </c>
      <c r="D17" s="60" t="n">
        <v>800</v>
      </c>
      <c r="E17" s="61" t="n">
        <f aca="false">IF(C17="","",C17*D17)</f>
        <v>34320</v>
      </c>
      <c r="F17" s="62" t="n">
        <f aca="false">IF(E17="","",E17*'Norms &amp; Assumptions'!B34)</f>
        <v>12012</v>
      </c>
      <c r="G17" s="63" t="n">
        <f aca="false">IF(E17="","",ROUNDUP(E17/(2*'Norms &amp; Assumptions'!B33),0))</f>
        <v>115</v>
      </c>
      <c r="H17" s="64"/>
      <c r="I17" s="63" t="n">
        <f aca="false">'Norms &amp; Assumptions'!B33</f>
        <v>150</v>
      </c>
      <c r="J17" s="63" t="n">
        <f aca="false">IF(E17="","",ROUNDUP(E17/(4*'Norms &amp; Assumptions'!B33),0))</f>
        <v>58</v>
      </c>
      <c r="K17" s="64"/>
      <c r="L17" s="63" t="n">
        <f aca="false">'Norms &amp; Assumptions'!B33</f>
        <v>150</v>
      </c>
    </row>
    <row r="18" customFormat="false" ht="19.5" hidden="false" customHeight="true" outlineLevel="0" collapsed="false">
      <c r="A18" s="57" t="n">
        <v>13</v>
      </c>
      <c r="B18" s="58" t="s">
        <v>312</v>
      </c>
      <c r="C18" s="59" t="n">
        <v>14.9</v>
      </c>
      <c r="D18" s="60" t="n">
        <v>800</v>
      </c>
      <c r="E18" s="61" t="n">
        <f aca="false">IF(C18="","",C18*D18)</f>
        <v>11920</v>
      </c>
      <c r="F18" s="62" t="n">
        <f aca="false">IF(E18="","",E18*'Norms &amp; Assumptions'!B34)</f>
        <v>4172</v>
      </c>
      <c r="G18" s="63" t="n">
        <f aca="false">IF(E18="","",ROUNDUP(E18/(2*'Norms &amp; Assumptions'!B33),0))</f>
        <v>40</v>
      </c>
      <c r="H18" s="64"/>
      <c r="I18" s="63" t="n">
        <f aca="false">'Norms &amp; Assumptions'!B33</f>
        <v>150</v>
      </c>
      <c r="J18" s="63" t="n">
        <f aca="false">IF(E18="","",ROUNDUP(E18/(4*'Norms &amp; Assumptions'!B33),0))</f>
        <v>20</v>
      </c>
      <c r="K18" s="64"/>
      <c r="L18" s="63" t="n">
        <f aca="false">'Norms &amp; Assumptions'!B33</f>
        <v>150</v>
      </c>
    </row>
    <row r="19" customFormat="false" ht="15" hidden="false" customHeight="true" outlineLevel="0" collapsed="false">
      <c r="A19" s="49" t="s">
        <v>313</v>
      </c>
      <c r="B19" s="49"/>
      <c r="C19" s="65" t="n">
        <f aca="false">SUMIF(C6:C18,"&gt;0")</f>
        <v>85.533</v>
      </c>
      <c r="D19" s="50"/>
      <c r="E19" s="51" t="n">
        <f aca="false">SUMIF(E6:E18,"&gt;0")</f>
        <v>68426.4</v>
      </c>
      <c r="F19" s="52" t="n">
        <f aca="false">SUMIF(F6:F18,"&gt;0")</f>
        <v>23949.24</v>
      </c>
      <c r="G19" s="50"/>
      <c r="H19" s="50"/>
      <c r="I19" s="50"/>
      <c r="J19" s="50"/>
      <c r="K19" s="50"/>
      <c r="L19" s="50"/>
    </row>
    <row r="21" customFormat="false" ht="27.75" hidden="false" customHeight="true" outlineLevel="0" collapsed="false">
      <c r="A21" s="66" t="s">
        <v>314</v>
      </c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</row>
  </sheetData>
  <mergeCells count="8">
    <mergeCell ref="A1:L1"/>
    <mergeCell ref="A2:L2"/>
    <mergeCell ref="A4:B4"/>
    <mergeCell ref="C4:F4"/>
    <mergeCell ref="G4:I4"/>
    <mergeCell ref="J4:L4"/>
    <mergeCell ref="A19:B19"/>
    <mergeCell ref="A21:L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565C0"/>
    <pageSetUpPr fitToPage="false"/>
  </sheetPr>
  <dimension ref="A1:M1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4"/>
    <col collapsed="false" customWidth="true" hidden="false" outlineLevel="0" max="3" min="3" style="1" width="20"/>
    <col collapsed="false" customWidth="true" hidden="false" outlineLevel="0" max="4" min="4" style="1" width="18"/>
    <col collapsed="false" customWidth="true" hidden="false" outlineLevel="0" max="11" min="5" style="1" width="14"/>
    <col collapsed="false" customWidth="true" hidden="false" outlineLevel="0" max="12" min="12" style="1" width="20"/>
  </cols>
  <sheetData>
    <row r="1" customFormat="false" ht="42" hidden="false" customHeight="true" outlineLevel="0" collapsed="false">
      <c r="A1" s="2" t="s">
        <v>315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21.75" hidden="false" customHeight="true" outlineLevel="0" collapsed="false">
      <c r="A2" s="3" t="s">
        <v>316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4" customFormat="false" ht="31.5" hidden="false" customHeight="true" outlineLevel="0" collapsed="false">
      <c r="A4" s="20" t="s">
        <v>288</v>
      </c>
      <c r="B4" s="20" t="s">
        <v>33</v>
      </c>
      <c r="C4" s="20" t="s">
        <v>317</v>
      </c>
      <c r="D4" s="20" t="s">
        <v>318</v>
      </c>
      <c r="E4" s="20" t="s">
        <v>319</v>
      </c>
      <c r="F4" s="20" t="s">
        <v>117</v>
      </c>
      <c r="G4" s="20" t="s">
        <v>119</v>
      </c>
      <c r="H4" s="20" t="s">
        <v>118</v>
      </c>
      <c r="I4" s="20" t="s">
        <v>120</v>
      </c>
      <c r="J4" s="20" t="s">
        <v>320</v>
      </c>
      <c r="K4" s="20" t="s">
        <v>321</v>
      </c>
      <c r="L4" s="20" t="s">
        <v>322</v>
      </c>
      <c r="M4" s="20" t="s">
        <v>323</v>
      </c>
    </row>
    <row r="5" customFormat="false" ht="18" hidden="false" customHeight="true" outlineLevel="0" collapsed="false">
      <c r="A5" s="57" t="n">
        <v>1</v>
      </c>
      <c r="B5" s="64"/>
      <c r="C5" s="33"/>
      <c r="D5" s="33"/>
      <c r="E5" s="10"/>
      <c r="F5" s="63" t="n">
        <f aca="false">'Norms &amp; Assumptions'!B33</f>
        <v>150</v>
      </c>
      <c r="G5" s="60"/>
      <c r="H5" s="67" t="n">
        <f aca="false">'Norms &amp; Assumptions'!B35</f>
        <v>0.18</v>
      </c>
      <c r="I5" s="68"/>
      <c r="J5" s="69" t="str">
        <f aca="false">IF(G5="","",G5-F5)</f>
        <v/>
      </c>
      <c r="K5" s="70" t="str">
        <f aca="false">IF(I5="","",I5-H5)</f>
        <v/>
      </c>
      <c r="L5" s="32" t="str">
        <f aca="false">IF(OR(G5="",F5=0),"",G5/F5)</f>
        <v/>
      </c>
      <c r="M5" s="33"/>
    </row>
    <row r="6" customFormat="false" ht="18" hidden="false" customHeight="true" outlineLevel="0" collapsed="false">
      <c r="A6" s="57" t="n">
        <v>2</v>
      </c>
      <c r="B6" s="64"/>
      <c r="C6" s="33"/>
      <c r="D6" s="33"/>
      <c r="E6" s="10"/>
      <c r="F6" s="63" t="n">
        <f aca="false">'Norms &amp; Assumptions'!B33</f>
        <v>150</v>
      </c>
      <c r="G6" s="60"/>
      <c r="H6" s="67" t="n">
        <f aca="false">'Norms &amp; Assumptions'!B35</f>
        <v>0.18</v>
      </c>
      <c r="I6" s="68"/>
      <c r="J6" s="69" t="str">
        <f aca="false">IF(G6="","",G6-F6)</f>
        <v/>
      </c>
      <c r="K6" s="70" t="str">
        <f aca="false">IF(I6="","",I6-H6)</f>
        <v/>
      </c>
      <c r="L6" s="32" t="str">
        <f aca="false">IF(OR(G6="",F6=0),"",G6/F6)</f>
        <v/>
      </c>
      <c r="M6" s="33"/>
    </row>
    <row r="7" customFormat="false" ht="18" hidden="false" customHeight="true" outlineLevel="0" collapsed="false">
      <c r="A7" s="57" t="n">
        <v>3</v>
      </c>
      <c r="B7" s="64"/>
      <c r="C7" s="33"/>
      <c r="D7" s="33"/>
      <c r="E7" s="10"/>
      <c r="F7" s="63" t="n">
        <f aca="false">'Norms &amp; Assumptions'!B33</f>
        <v>150</v>
      </c>
      <c r="G7" s="60"/>
      <c r="H7" s="67" t="n">
        <f aca="false">'Norms &amp; Assumptions'!B35</f>
        <v>0.18</v>
      </c>
      <c r="I7" s="68"/>
      <c r="J7" s="69" t="str">
        <f aca="false">IF(G7="","",G7-F7)</f>
        <v/>
      </c>
      <c r="K7" s="70" t="str">
        <f aca="false">IF(I7="","",I7-H7)</f>
        <v/>
      </c>
      <c r="L7" s="32" t="str">
        <f aca="false">IF(OR(G7="",F7=0),"",G7/F7)</f>
        <v/>
      </c>
      <c r="M7" s="33"/>
    </row>
    <row r="8" customFormat="false" ht="18" hidden="false" customHeight="true" outlineLevel="0" collapsed="false">
      <c r="A8" s="57" t="n">
        <v>4</v>
      </c>
      <c r="B8" s="64"/>
      <c r="C8" s="33"/>
      <c r="D8" s="33"/>
      <c r="E8" s="10"/>
      <c r="F8" s="63" t="n">
        <f aca="false">'Norms &amp; Assumptions'!B33</f>
        <v>150</v>
      </c>
      <c r="G8" s="60"/>
      <c r="H8" s="67" t="n">
        <f aca="false">'Norms &amp; Assumptions'!B35</f>
        <v>0.18</v>
      </c>
      <c r="I8" s="68"/>
      <c r="J8" s="69" t="str">
        <f aca="false">IF(G8="","",G8-F8)</f>
        <v/>
      </c>
      <c r="K8" s="70" t="str">
        <f aca="false">IF(I8="","",I8-H8)</f>
        <v/>
      </c>
      <c r="L8" s="32" t="str">
        <f aca="false">IF(OR(G8="",F8=0),"",G8/F8)</f>
        <v/>
      </c>
      <c r="M8" s="33"/>
    </row>
    <row r="9" customFormat="false" ht="18" hidden="false" customHeight="true" outlineLevel="0" collapsed="false">
      <c r="A9" s="57" t="n">
        <v>5</v>
      </c>
      <c r="B9" s="64"/>
      <c r="C9" s="33"/>
      <c r="D9" s="33"/>
      <c r="E9" s="10"/>
      <c r="F9" s="63" t="n">
        <f aca="false">'Norms &amp; Assumptions'!B33</f>
        <v>150</v>
      </c>
      <c r="G9" s="60"/>
      <c r="H9" s="67" t="n">
        <f aca="false">'Norms &amp; Assumptions'!B35</f>
        <v>0.18</v>
      </c>
      <c r="I9" s="68"/>
      <c r="J9" s="69" t="str">
        <f aca="false">IF(G9="","",G9-F9)</f>
        <v/>
      </c>
      <c r="K9" s="70" t="str">
        <f aca="false">IF(I9="","",I9-H9)</f>
        <v/>
      </c>
      <c r="L9" s="32" t="str">
        <f aca="false">IF(OR(G9="",F9=0),"",G9/F9)</f>
        <v/>
      </c>
      <c r="M9" s="33"/>
    </row>
    <row r="10" customFormat="false" ht="18" hidden="false" customHeight="true" outlineLevel="0" collapsed="false">
      <c r="A10" s="57" t="n">
        <v>6</v>
      </c>
      <c r="B10" s="64"/>
      <c r="C10" s="33"/>
      <c r="D10" s="33"/>
      <c r="E10" s="10"/>
      <c r="F10" s="63" t="n">
        <f aca="false">'Norms &amp; Assumptions'!B33</f>
        <v>150</v>
      </c>
      <c r="G10" s="60"/>
      <c r="H10" s="67" t="n">
        <f aca="false">'Norms &amp; Assumptions'!B35</f>
        <v>0.18</v>
      </c>
      <c r="I10" s="68"/>
      <c r="J10" s="69" t="str">
        <f aca="false">IF(G10="","",G10-F10)</f>
        <v/>
      </c>
      <c r="K10" s="70" t="str">
        <f aca="false">IF(I10="","",I10-H10)</f>
        <v/>
      </c>
      <c r="L10" s="32" t="str">
        <f aca="false">IF(OR(G10="",F10=0),"",G10/F10)</f>
        <v/>
      </c>
      <c r="M10" s="33"/>
    </row>
    <row r="11" customFormat="false" ht="18" hidden="false" customHeight="true" outlineLevel="0" collapsed="false">
      <c r="A11" s="57" t="n">
        <v>7</v>
      </c>
      <c r="B11" s="64"/>
      <c r="C11" s="33"/>
      <c r="D11" s="33"/>
      <c r="E11" s="10"/>
      <c r="F11" s="63" t="n">
        <f aca="false">'Norms &amp; Assumptions'!B33</f>
        <v>150</v>
      </c>
      <c r="G11" s="60"/>
      <c r="H11" s="67" t="n">
        <f aca="false">'Norms &amp; Assumptions'!B35</f>
        <v>0.18</v>
      </c>
      <c r="I11" s="68"/>
      <c r="J11" s="69" t="str">
        <f aca="false">IF(G11="","",G11-F11)</f>
        <v/>
      </c>
      <c r="K11" s="70" t="str">
        <f aca="false">IF(I11="","",I11-H11)</f>
        <v/>
      </c>
      <c r="L11" s="32" t="str">
        <f aca="false">IF(OR(G11="",F11=0),"",G11/F11)</f>
        <v/>
      </c>
      <c r="M11" s="33"/>
    </row>
    <row r="12" customFormat="false" ht="18" hidden="false" customHeight="true" outlineLevel="0" collapsed="false">
      <c r="A12" s="57" t="n">
        <v>8</v>
      </c>
      <c r="B12" s="64"/>
      <c r="C12" s="33"/>
      <c r="D12" s="33"/>
      <c r="E12" s="10"/>
      <c r="F12" s="63" t="n">
        <f aca="false">'Norms &amp; Assumptions'!B33</f>
        <v>150</v>
      </c>
      <c r="G12" s="60"/>
      <c r="H12" s="67" t="n">
        <f aca="false">'Norms &amp; Assumptions'!B35</f>
        <v>0.18</v>
      </c>
      <c r="I12" s="68"/>
      <c r="J12" s="69" t="str">
        <f aca="false">IF(G12="","",G12-F12)</f>
        <v/>
      </c>
      <c r="K12" s="70" t="str">
        <f aca="false">IF(I12="","",I12-H12)</f>
        <v/>
      </c>
      <c r="L12" s="32" t="str">
        <f aca="false">IF(OR(G12="",F12=0),"",G12/F12)</f>
        <v/>
      </c>
      <c r="M12" s="33"/>
    </row>
    <row r="13" customFormat="false" ht="18" hidden="false" customHeight="true" outlineLevel="0" collapsed="false">
      <c r="A13" s="57" t="n">
        <v>9</v>
      </c>
      <c r="B13" s="64"/>
      <c r="C13" s="33"/>
      <c r="D13" s="33"/>
      <c r="E13" s="10"/>
      <c r="F13" s="63" t="n">
        <f aca="false">'Norms &amp; Assumptions'!B33</f>
        <v>150</v>
      </c>
      <c r="G13" s="60"/>
      <c r="H13" s="67" t="n">
        <f aca="false">'Norms &amp; Assumptions'!B35</f>
        <v>0.18</v>
      </c>
      <c r="I13" s="68"/>
      <c r="J13" s="69" t="str">
        <f aca="false">IF(G13="","",G13-F13)</f>
        <v/>
      </c>
      <c r="K13" s="70" t="str">
        <f aca="false">IF(I13="","",I13-H13)</f>
        <v/>
      </c>
      <c r="L13" s="32" t="str">
        <f aca="false">IF(OR(G13="",F13=0),"",G13/F13)</f>
        <v/>
      </c>
      <c r="M13" s="33"/>
    </row>
    <row r="14" customFormat="false" ht="18" hidden="false" customHeight="true" outlineLevel="0" collapsed="false">
      <c r="A14" s="57" t="n">
        <v>10</v>
      </c>
      <c r="B14" s="64"/>
      <c r="C14" s="33"/>
      <c r="D14" s="33"/>
      <c r="E14" s="10"/>
      <c r="F14" s="63" t="n">
        <f aca="false">'Norms &amp; Assumptions'!B33</f>
        <v>150</v>
      </c>
      <c r="G14" s="60"/>
      <c r="H14" s="67" t="n">
        <f aca="false">'Norms &amp; Assumptions'!B35</f>
        <v>0.18</v>
      </c>
      <c r="I14" s="68"/>
      <c r="J14" s="69" t="str">
        <f aca="false">IF(G14="","",G14-F14)</f>
        <v/>
      </c>
      <c r="K14" s="70" t="str">
        <f aca="false">IF(I14="","",I14-H14)</f>
        <v/>
      </c>
      <c r="L14" s="32" t="str">
        <f aca="false">IF(OR(G14="",F14=0),"",G14/F14)</f>
        <v/>
      </c>
      <c r="M14" s="33"/>
    </row>
    <row r="15" customFormat="false" ht="18" hidden="false" customHeight="true" outlineLevel="0" collapsed="false">
      <c r="A15" s="57" t="n">
        <v>11</v>
      </c>
      <c r="B15" s="64"/>
      <c r="C15" s="33"/>
      <c r="D15" s="33"/>
      <c r="E15" s="10"/>
      <c r="F15" s="63" t="n">
        <f aca="false">'Norms &amp; Assumptions'!B33</f>
        <v>150</v>
      </c>
      <c r="G15" s="60"/>
      <c r="H15" s="67" t="n">
        <f aca="false">'Norms &amp; Assumptions'!B35</f>
        <v>0.18</v>
      </c>
      <c r="I15" s="68"/>
      <c r="J15" s="69" t="str">
        <f aca="false">IF(G15="","",G15-F15)</f>
        <v/>
      </c>
      <c r="K15" s="70" t="str">
        <f aca="false">IF(I15="","",I15-H15)</f>
        <v/>
      </c>
      <c r="L15" s="32" t="str">
        <f aca="false">IF(OR(G15="",F15=0),"",G15/F15)</f>
        <v/>
      </c>
      <c r="M15" s="33"/>
    </row>
    <row r="16" customFormat="false" ht="18" hidden="false" customHeight="true" outlineLevel="0" collapsed="false">
      <c r="A16" s="57" t="n">
        <v>12</v>
      </c>
      <c r="B16" s="64"/>
      <c r="C16" s="33"/>
      <c r="D16" s="33"/>
      <c r="E16" s="10"/>
      <c r="F16" s="63" t="n">
        <f aca="false">'Norms &amp; Assumptions'!B33</f>
        <v>150</v>
      </c>
      <c r="G16" s="60"/>
      <c r="H16" s="67" t="n">
        <f aca="false">'Norms &amp; Assumptions'!B35</f>
        <v>0.18</v>
      </c>
      <c r="I16" s="68"/>
      <c r="J16" s="69" t="str">
        <f aca="false">IF(G16="","",G16-F16)</f>
        <v/>
      </c>
      <c r="K16" s="70" t="str">
        <f aca="false">IF(I16="","",I16-H16)</f>
        <v/>
      </c>
      <c r="L16" s="32" t="str">
        <f aca="false">IF(OR(G16="",F16=0),"",G16/F16)</f>
        <v/>
      </c>
      <c r="M16" s="33"/>
    </row>
    <row r="17" customFormat="false" ht="18" hidden="false" customHeight="true" outlineLevel="0" collapsed="false">
      <c r="A17" s="57" t="n">
        <v>13</v>
      </c>
      <c r="B17" s="64"/>
      <c r="C17" s="33"/>
      <c r="D17" s="33"/>
      <c r="E17" s="10"/>
      <c r="F17" s="63" t="n">
        <f aca="false">'Norms &amp; Assumptions'!B33</f>
        <v>150</v>
      </c>
      <c r="G17" s="60"/>
      <c r="H17" s="67" t="n">
        <f aca="false">'Norms &amp; Assumptions'!B35</f>
        <v>0.18</v>
      </c>
      <c r="I17" s="68"/>
      <c r="J17" s="69" t="str">
        <f aca="false">IF(G17="","",G17-F17)</f>
        <v/>
      </c>
      <c r="K17" s="70" t="str">
        <f aca="false">IF(I17="","",I17-H17)</f>
        <v/>
      </c>
      <c r="L17" s="32" t="str">
        <f aca="false">IF(OR(G17="",F17=0),"",G17/F17)</f>
        <v/>
      </c>
      <c r="M17" s="33"/>
    </row>
    <row r="18" customFormat="false" ht="18" hidden="false" customHeight="true" outlineLevel="0" collapsed="false">
      <c r="A18" s="57" t="n">
        <v>14</v>
      </c>
      <c r="B18" s="64"/>
      <c r="C18" s="33"/>
      <c r="D18" s="33"/>
      <c r="E18" s="10"/>
      <c r="F18" s="63" t="n">
        <f aca="false">'Norms &amp; Assumptions'!B33</f>
        <v>150</v>
      </c>
      <c r="G18" s="60"/>
      <c r="H18" s="67" t="n">
        <f aca="false">'Norms &amp; Assumptions'!B35</f>
        <v>0.18</v>
      </c>
      <c r="I18" s="68"/>
      <c r="J18" s="69" t="str">
        <f aca="false">IF(G18="","",G18-F18)</f>
        <v/>
      </c>
      <c r="K18" s="70" t="str">
        <f aca="false">IF(I18="","",I18-H18)</f>
        <v/>
      </c>
      <c r="L18" s="32" t="str">
        <f aca="false">IF(OR(G18="",F18=0),"",G18/F18)</f>
        <v/>
      </c>
      <c r="M18" s="33"/>
    </row>
    <row r="19" customFormat="false" ht="18" hidden="false" customHeight="true" outlineLevel="0" collapsed="false">
      <c r="A19" s="57" t="n">
        <v>15</v>
      </c>
      <c r="B19" s="64"/>
      <c r="C19" s="33"/>
      <c r="D19" s="33"/>
      <c r="E19" s="10"/>
      <c r="F19" s="63" t="n">
        <f aca="false">'Norms &amp; Assumptions'!B33</f>
        <v>150</v>
      </c>
      <c r="G19" s="60"/>
      <c r="H19" s="67" t="n">
        <f aca="false">'Norms &amp; Assumptions'!B35</f>
        <v>0.18</v>
      </c>
      <c r="I19" s="68"/>
      <c r="J19" s="69" t="str">
        <f aca="false">IF(G19="","",G19-F19)</f>
        <v/>
      </c>
      <c r="K19" s="70" t="str">
        <f aca="false">IF(I19="","",I19-H19)</f>
        <v/>
      </c>
      <c r="L19" s="32" t="str">
        <f aca="false">IF(OR(G19="",F19=0),"",G19/F19)</f>
        <v/>
      </c>
      <c r="M19" s="33"/>
    </row>
    <row r="20" customFormat="false" ht="18" hidden="false" customHeight="true" outlineLevel="0" collapsed="false">
      <c r="A20" s="57" t="n">
        <v>16</v>
      </c>
      <c r="B20" s="64"/>
      <c r="C20" s="33"/>
      <c r="D20" s="33"/>
      <c r="E20" s="10"/>
      <c r="F20" s="63" t="n">
        <f aca="false">'Norms &amp; Assumptions'!B33</f>
        <v>150</v>
      </c>
      <c r="G20" s="60"/>
      <c r="H20" s="67" t="n">
        <f aca="false">'Norms &amp; Assumptions'!B35</f>
        <v>0.18</v>
      </c>
      <c r="I20" s="68"/>
      <c r="J20" s="69" t="str">
        <f aca="false">IF(G20="","",G20-F20)</f>
        <v/>
      </c>
      <c r="K20" s="70" t="str">
        <f aca="false">IF(I20="","",I20-H20)</f>
        <v/>
      </c>
      <c r="L20" s="32" t="str">
        <f aca="false">IF(OR(G20="",F20=0),"",G20/F20)</f>
        <v/>
      </c>
      <c r="M20" s="33"/>
    </row>
    <row r="21" customFormat="false" ht="18" hidden="false" customHeight="true" outlineLevel="0" collapsed="false">
      <c r="A21" s="57" t="n">
        <v>17</v>
      </c>
      <c r="B21" s="64"/>
      <c r="C21" s="33"/>
      <c r="D21" s="33"/>
      <c r="E21" s="10"/>
      <c r="F21" s="63" t="n">
        <f aca="false">'Norms &amp; Assumptions'!B33</f>
        <v>150</v>
      </c>
      <c r="G21" s="60"/>
      <c r="H21" s="67" t="n">
        <f aca="false">'Norms &amp; Assumptions'!B35</f>
        <v>0.18</v>
      </c>
      <c r="I21" s="68"/>
      <c r="J21" s="69" t="str">
        <f aca="false">IF(G21="","",G21-F21)</f>
        <v/>
      </c>
      <c r="K21" s="70" t="str">
        <f aca="false">IF(I21="","",I21-H21)</f>
        <v/>
      </c>
      <c r="L21" s="32" t="str">
        <f aca="false">IF(OR(G21="",F21=0),"",G21/F21)</f>
        <v/>
      </c>
      <c r="M21" s="33"/>
    </row>
    <row r="22" customFormat="false" ht="18" hidden="false" customHeight="true" outlineLevel="0" collapsed="false">
      <c r="A22" s="57" t="n">
        <v>18</v>
      </c>
      <c r="B22" s="64"/>
      <c r="C22" s="33"/>
      <c r="D22" s="33"/>
      <c r="E22" s="10"/>
      <c r="F22" s="63" t="n">
        <f aca="false">'Norms &amp; Assumptions'!B33</f>
        <v>150</v>
      </c>
      <c r="G22" s="60"/>
      <c r="H22" s="67" t="n">
        <f aca="false">'Norms &amp; Assumptions'!B35</f>
        <v>0.18</v>
      </c>
      <c r="I22" s="68"/>
      <c r="J22" s="69" t="str">
        <f aca="false">IF(G22="","",G22-F22)</f>
        <v/>
      </c>
      <c r="K22" s="70" t="str">
        <f aca="false">IF(I22="","",I22-H22)</f>
        <v/>
      </c>
      <c r="L22" s="32" t="str">
        <f aca="false">IF(OR(G22="",F22=0),"",G22/F22)</f>
        <v/>
      </c>
      <c r="M22" s="33"/>
    </row>
    <row r="23" customFormat="false" ht="18" hidden="false" customHeight="true" outlineLevel="0" collapsed="false">
      <c r="A23" s="57" t="n">
        <v>19</v>
      </c>
      <c r="B23" s="64"/>
      <c r="C23" s="33"/>
      <c r="D23" s="33"/>
      <c r="E23" s="10"/>
      <c r="F23" s="63" t="n">
        <f aca="false">'Norms &amp; Assumptions'!B33</f>
        <v>150</v>
      </c>
      <c r="G23" s="60"/>
      <c r="H23" s="67" t="n">
        <f aca="false">'Norms &amp; Assumptions'!B35</f>
        <v>0.18</v>
      </c>
      <c r="I23" s="68"/>
      <c r="J23" s="69" t="str">
        <f aca="false">IF(G23="","",G23-F23)</f>
        <v/>
      </c>
      <c r="K23" s="70" t="str">
        <f aca="false">IF(I23="","",I23-H23)</f>
        <v/>
      </c>
      <c r="L23" s="32" t="str">
        <f aca="false">IF(OR(G23="",F23=0),"",G23/F23)</f>
        <v/>
      </c>
      <c r="M23" s="33"/>
    </row>
    <row r="24" customFormat="false" ht="18" hidden="false" customHeight="true" outlineLevel="0" collapsed="false">
      <c r="A24" s="57" t="n">
        <v>20</v>
      </c>
      <c r="B24" s="64"/>
      <c r="C24" s="33"/>
      <c r="D24" s="33"/>
      <c r="E24" s="10"/>
      <c r="F24" s="63" t="n">
        <f aca="false">'Norms &amp; Assumptions'!B33</f>
        <v>150</v>
      </c>
      <c r="G24" s="60"/>
      <c r="H24" s="67" t="n">
        <f aca="false">'Norms &amp; Assumptions'!B35</f>
        <v>0.18</v>
      </c>
      <c r="I24" s="68"/>
      <c r="J24" s="69" t="str">
        <f aca="false">IF(G24="","",G24-F24)</f>
        <v/>
      </c>
      <c r="K24" s="70" t="str">
        <f aca="false">IF(I24="","",I24-H24)</f>
        <v/>
      </c>
      <c r="L24" s="32" t="str">
        <f aca="false">IF(OR(G24="",F24=0),"",G24/F24)</f>
        <v/>
      </c>
      <c r="M24" s="33"/>
    </row>
    <row r="25" customFormat="false" ht="18" hidden="false" customHeight="true" outlineLevel="0" collapsed="false">
      <c r="A25" s="57" t="n">
        <v>21</v>
      </c>
      <c r="B25" s="64"/>
      <c r="C25" s="33"/>
      <c r="D25" s="33"/>
      <c r="E25" s="10"/>
      <c r="F25" s="63" t="n">
        <f aca="false">'Norms &amp; Assumptions'!B33</f>
        <v>150</v>
      </c>
      <c r="G25" s="60"/>
      <c r="H25" s="67" t="n">
        <f aca="false">'Norms &amp; Assumptions'!B35</f>
        <v>0.18</v>
      </c>
      <c r="I25" s="68"/>
      <c r="J25" s="69" t="str">
        <f aca="false">IF(G25="","",G25-F25)</f>
        <v/>
      </c>
      <c r="K25" s="70" t="str">
        <f aca="false">IF(I25="","",I25-H25)</f>
        <v/>
      </c>
      <c r="L25" s="32" t="str">
        <f aca="false">IF(OR(G25="",F25=0),"",G25/F25)</f>
        <v/>
      </c>
      <c r="M25" s="33"/>
    </row>
    <row r="26" customFormat="false" ht="18" hidden="false" customHeight="true" outlineLevel="0" collapsed="false">
      <c r="A26" s="57" t="n">
        <v>22</v>
      </c>
      <c r="B26" s="64"/>
      <c r="C26" s="33"/>
      <c r="D26" s="33"/>
      <c r="E26" s="10"/>
      <c r="F26" s="63" t="n">
        <f aca="false">'Norms &amp; Assumptions'!B33</f>
        <v>150</v>
      </c>
      <c r="G26" s="60"/>
      <c r="H26" s="67" t="n">
        <f aca="false">'Norms &amp; Assumptions'!B35</f>
        <v>0.18</v>
      </c>
      <c r="I26" s="68"/>
      <c r="J26" s="69" t="str">
        <f aca="false">IF(G26="","",G26-F26)</f>
        <v/>
      </c>
      <c r="K26" s="70" t="str">
        <f aca="false">IF(I26="","",I26-H26)</f>
        <v/>
      </c>
      <c r="L26" s="32" t="str">
        <f aca="false">IF(OR(G26="",F26=0),"",G26/F26)</f>
        <v/>
      </c>
      <c r="M26" s="33"/>
    </row>
    <row r="27" customFormat="false" ht="18" hidden="false" customHeight="true" outlineLevel="0" collapsed="false">
      <c r="A27" s="57" t="n">
        <v>23</v>
      </c>
      <c r="B27" s="64"/>
      <c r="C27" s="33"/>
      <c r="D27" s="33"/>
      <c r="E27" s="10"/>
      <c r="F27" s="63" t="n">
        <f aca="false">'Norms &amp; Assumptions'!B33</f>
        <v>150</v>
      </c>
      <c r="G27" s="60"/>
      <c r="H27" s="67" t="n">
        <f aca="false">'Norms &amp; Assumptions'!B35</f>
        <v>0.18</v>
      </c>
      <c r="I27" s="68"/>
      <c r="J27" s="69" t="str">
        <f aca="false">IF(G27="","",G27-F27)</f>
        <v/>
      </c>
      <c r="K27" s="70" t="str">
        <f aca="false">IF(I27="","",I27-H27)</f>
        <v/>
      </c>
      <c r="L27" s="32" t="str">
        <f aca="false">IF(OR(G27="",F27=0),"",G27/F27)</f>
        <v/>
      </c>
      <c r="M27" s="33"/>
    </row>
    <row r="28" customFormat="false" ht="18" hidden="false" customHeight="true" outlineLevel="0" collapsed="false">
      <c r="A28" s="57" t="n">
        <v>24</v>
      </c>
      <c r="B28" s="64"/>
      <c r="C28" s="33"/>
      <c r="D28" s="33"/>
      <c r="E28" s="10"/>
      <c r="F28" s="63" t="n">
        <f aca="false">'Norms &amp; Assumptions'!B33</f>
        <v>150</v>
      </c>
      <c r="G28" s="60"/>
      <c r="H28" s="67" t="n">
        <f aca="false">'Norms &amp; Assumptions'!B35</f>
        <v>0.18</v>
      </c>
      <c r="I28" s="68"/>
      <c r="J28" s="69" t="str">
        <f aca="false">IF(G28="","",G28-F28)</f>
        <v/>
      </c>
      <c r="K28" s="70" t="str">
        <f aca="false">IF(I28="","",I28-H28)</f>
        <v/>
      </c>
      <c r="L28" s="32" t="str">
        <f aca="false">IF(OR(G28="",F28=0),"",G28/F28)</f>
        <v/>
      </c>
      <c r="M28" s="33"/>
    </row>
    <row r="29" customFormat="false" ht="18" hidden="false" customHeight="true" outlineLevel="0" collapsed="false">
      <c r="A29" s="57" t="n">
        <v>25</v>
      </c>
      <c r="B29" s="64"/>
      <c r="C29" s="33"/>
      <c r="D29" s="33"/>
      <c r="E29" s="10"/>
      <c r="F29" s="63" t="n">
        <f aca="false">'Norms &amp; Assumptions'!B33</f>
        <v>150</v>
      </c>
      <c r="G29" s="60"/>
      <c r="H29" s="67" t="n">
        <f aca="false">'Norms &amp; Assumptions'!B35</f>
        <v>0.18</v>
      </c>
      <c r="I29" s="68"/>
      <c r="J29" s="69" t="str">
        <f aca="false">IF(G29="","",G29-F29)</f>
        <v/>
      </c>
      <c r="K29" s="70" t="str">
        <f aca="false">IF(I29="","",I29-H29)</f>
        <v/>
      </c>
      <c r="L29" s="32" t="str">
        <f aca="false">IF(OR(G29="",F29=0),"",G29/F29)</f>
        <v/>
      </c>
      <c r="M29" s="33"/>
    </row>
    <row r="30" customFormat="false" ht="18" hidden="false" customHeight="true" outlineLevel="0" collapsed="false">
      <c r="A30" s="57" t="n">
        <v>26</v>
      </c>
      <c r="B30" s="64"/>
      <c r="C30" s="33"/>
      <c r="D30" s="33"/>
      <c r="E30" s="10"/>
      <c r="F30" s="63" t="n">
        <f aca="false">'Norms &amp; Assumptions'!B33</f>
        <v>150</v>
      </c>
      <c r="G30" s="60"/>
      <c r="H30" s="67" t="n">
        <f aca="false">'Norms &amp; Assumptions'!B35</f>
        <v>0.18</v>
      </c>
      <c r="I30" s="68"/>
      <c r="J30" s="69" t="str">
        <f aca="false">IF(G30="","",G30-F30)</f>
        <v/>
      </c>
      <c r="K30" s="70" t="str">
        <f aca="false">IF(I30="","",I30-H30)</f>
        <v/>
      </c>
      <c r="L30" s="32" t="str">
        <f aca="false">IF(OR(G30="",F30=0),"",G30/F30)</f>
        <v/>
      </c>
      <c r="M30" s="33"/>
    </row>
    <row r="31" customFormat="false" ht="18" hidden="false" customHeight="true" outlineLevel="0" collapsed="false">
      <c r="A31" s="57" t="n">
        <v>27</v>
      </c>
      <c r="B31" s="64"/>
      <c r="C31" s="33"/>
      <c r="D31" s="33"/>
      <c r="E31" s="10"/>
      <c r="F31" s="63" t="n">
        <f aca="false">'Norms &amp; Assumptions'!B33</f>
        <v>150</v>
      </c>
      <c r="G31" s="60"/>
      <c r="H31" s="67" t="n">
        <f aca="false">'Norms &amp; Assumptions'!B35</f>
        <v>0.18</v>
      </c>
      <c r="I31" s="68"/>
      <c r="J31" s="69" t="str">
        <f aca="false">IF(G31="","",G31-F31)</f>
        <v/>
      </c>
      <c r="K31" s="70" t="str">
        <f aca="false">IF(I31="","",I31-H31)</f>
        <v/>
      </c>
      <c r="L31" s="32" t="str">
        <f aca="false">IF(OR(G31="",F31=0),"",G31/F31)</f>
        <v/>
      </c>
      <c r="M31" s="33"/>
    </row>
    <row r="32" customFormat="false" ht="18" hidden="false" customHeight="true" outlineLevel="0" collapsed="false">
      <c r="A32" s="57" t="n">
        <v>28</v>
      </c>
      <c r="B32" s="64"/>
      <c r="C32" s="33"/>
      <c r="D32" s="33"/>
      <c r="E32" s="10"/>
      <c r="F32" s="63" t="n">
        <f aca="false">'Norms &amp; Assumptions'!B33</f>
        <v>150</v>
      </c>
      <c r="G32" s="60"/>
      <c r="H32" s="67" t="n">
        <f aca="false">'Norms &amp; Assumptions'!B35</f>
        <v>0.18</v>
      </c>
      <c r="I32" s="68"/>
      <c r="J32" s="69" t="str">
        <f aca="false">IF(G32="","",G32-F32)</f>
        <v/>
      </c>
      <c r="K32" s="70" t="str">
        <f aca="false">IF(I32="","",I32-H32)</f>
        <v/>
      </c>
      <c r="L32" s="32" t="str">
        <f aca="false">IF(OR(G32="",F32=0),"",G32/F32)</f>
        <v/>
      </c>
      <c r="M32" s="33"/>
    </row>
    <row r="33" customFormat="false" ht="18" hidden="false" customHeight="true" outlineLevel="0" collapsed="false">
      <c r="A33" s="57" t="n">
        <v>29</v>
      </c>
      <c r="B33" s="64"/>
      <c r="C33" s="33"/>
      <c r="D33" s="33"/>
      <c r="E33" s="10"/>
      <c r="F33" s="63" t="n">
        <f aca="false">'Norms &amp; Assumptions'!B33</f>
        <v>150</v>
      </c>
      <c r="G33" s="60"/>
      <c r="H33" s="67" t="n">
        <f aca="false">'Norms &amp; Assumptions'!B35</f>
        <v>0.18</v>
      </c>
      <c r="I33" s="68"/>
      <c r="J33" s="69" t="str">
        <f aca="false">IF(G33="","",G33-F33)</f>
        <v/>
      </c>
      <c r="K33" s="70" t="str">
        <f aca="false">IF(I33="","",I33-H33)</f>
        <v/>
      </c>
      <c r="L33" s="32" t="str">
        <f aca="false">IF(OR(G33="",F33=0),"",G33/F33)</f>
        <v/>
      </c>
      <c r="M33" s="33"/>
    </row>
    <row r="34" customFormat="false" ht="18" hidden="false" customHeight="true" outlineLevel="0" collapsed="false">
      <c r="A34" s="57" t="n">
        <v>30</v>
      </c>
      <c r="B34" s="64"/>
      <c r="C34" s="33"/>
      <c r="D34" s="33"/>
      <c r="E34" s="10"/>
      <c r="F34" s="63" t="n">
        <f aca="false">'Norms &amp; Assumptions'!B33</f>
        <v>150</v>
      </c>
      <c r="G34" s="60"/>
      <c r="H34" s="67" t="n">
        <f aca="false">'Norms &amp; Assumptions'!B35</f>
        <v>0.18</v>
      </c>
      <c r="I34" s="68"/>
      <c r="J34" s="69" t="str">
        <f aca="false">IF(G34="","",G34-F34)</f>
        <v/>
      </c>
      <c r="K34" s="70" t="str">
        <f aca="false">IF(I34="","",I34-H34)</f>
        <v/>
      </c>
      <c r="L34" s="32" t="str">
        <f aca="false">IF(OR(G34="",F34=0),"",G34/F34)</f>
        <v/>
      </c>
      <c r="M34" s="33"/>
    </row>
    <row r="35" customFormat="false" ht="18" hidden="false" customHeight="true" outlineLevel="0" collapsed="false">
      <c r="A35" s="57" t="n">
        <v>31</v>
      </c>
      <c r="B35" s="64"/>
      <c r="C35" s="33"/>
      <c r="D35" s="33"/>
      <c r="E35" s="10"/>
      <c r="F35" s="63" t="n">
        <f aca="false">'Norms &amp; Assumptions'!B33</f>
        <v>150</v>
      </c>
      <c r="G35" s="60"/>
      <c r="H35" s="67" t="n">
        <f aca="false">'Norms &amp; Assumptions'!B35</f>
        <v>0.18</v>
      </c>
      <c r="I35" s="68"/>
      <c r="J35" s="69" t="str">
        <f aca="false">IF(G35="","",G35-F35)</f>
        <v/>
      </c>
      <c r="K35" s="70" t="str">
        <f aca="false">IF(I35="","",I35-H35)</f>
        <v/>
      </c>
      <c r="L35" s="32" t="str">
        <f aca="false">IF(OR(G35="",F35=0),"",G35/F35)</f>
        <v/>
      </c>
      <c r="M35" s="33"/>
    </row>
    <row r="36" customFormat="false" ht="18" hidden="false" customHeight="true" outlineLevel="0" collapsed="false">
      <c r="A36" s="57" t="n">
        <v>32</v>
      </c>
      <c r="B36" s="64"/>
      <c r="C36" s="33"/>
      <c r="D36" s="33"/>
      <c r="E36" s="10"/>
      <c r="F36" s="63" t="n">
        <f aca="false">'Norms &amp; Assumptions'!B33</f>
        <v>150</v>
      </c>
      <c r="G36" s="60"/>
      <c r="H36" s="67" t="n">
        <f aca="false">'Norms &amp; Assumptions'!B35</f>
        <v>0.18</v>
      </c>
      <c r="I36" s="68"/>
      <c r="J36" s="69" t="str">
        <f aca="false">IF(G36="","",G36-F36)</f>
        <v/>
      </c>
      <c r="K36" s="70" t="str">
        <f aca="false">IF(I36="","",I36-H36)</f>
        <v/>
      </c>
      <c r="L36" s="32" t="str">
        <f aca="false">IF(OR(G36="",F36=0),"",G36/F36)</f>
        <v/>
      </c>
      <c r="M36" s="33"/>
    </row>
    <row r="37" customFormat="false" ht="18" hidden="false" customHeight="true" outlineLevel="0" collapsed="false">
      <c r="A37" s="57" t="n">
        <v>33</v>
      </c>
      <c r="B37" s="64"/>
      <c r="C37" s="33"/>
      <c r="D37" s="33"/>
      <c r="E37" s="10"/>
      <c r="F37" s="63" t="n">
        <f aca="false">'Norms &amp; Assumptions'!B33</f>
        <v>150</v>
      </c>
      <c r="G37" s="60"/>
      <c r="H37" s="67" t="n">
        <f aca="false">'Norms &amp; Assumptions'!B35</f>
        <v>0.18</v>
      </c>
      <c r="I37" s="68"/>
      <c r="J37" s="69" t="str">
        <f aca="false">IF(G37="","",G37-F37)</f>
        <v/>
      </c>
      <c r="K37" s="70" t="str">
        <f aca="false">IF(I37="","",I37-H37)</f>
        <v/>
      </c>
      <c r="L37" s="32" t="str">
        <f aca="false">IF(OR(G37="",F37=0),"",G37/F37)</f>
        <v/>
      </c>
      <c r="M37" s="33"/>
    </row>
    <row r="38" customFormat="false" ht="18" hidden="false" customHeight="true" outlineLevel="0" collapsed="false">
      <c r="A38" s="57" t="n">
        <v>34</v>
      </c>
      <c r="B38" s="64"/>
      <c r="C38" s="33"/>
      <c r="D38" s="33"/>
      <c r="E38" s="10"/>
      <c r="F38" s="63" t="n">
        <f aca="false">'Norms &amp; Assumptions'!B33</f>
        <v>150</v>
      </c>
      <c r="G38" s="60"/>
      <c r="H38" s="67" t="n">
        <f aca="false">'Norms &amp; Assumptions'!B35</f>
        <v>0.18</v>
      </c>
      <c r="I38" s="68"/>
      <c r="J38" s="69" t="str">
        <f aca="false">IF(G38="","",G38-F38)</f>
        <v/>
      </c>
      <c r="K38" s="70" t="str">
        <f aca="false">IF(I38="","",I38-H38)</f>
        <v/>
      </c>
      <c r="L38" s="32" t="str">
        <f aca="false">IF(OR(G38="",F38=0),"",G38/F38)</f>
        <v/>
      </c>
      <c r="M38" s="33"/>
    </row>
    <row r="39" customFormat="false" ht="18" hidden="false" customHeight="true" outlineLevel="0" collapsed="false">
      <c r="A39" s="57" t="n">
        <v>35</v>
      </c>
      <c r="B39" s="64"/>
      <c r="C39" s="33"/>
      <c r="D39" s="33"/>
      <c r="E39" s="10"/>
      <c r="F39" s="63" t="n">
        <f aca="false">'Norms &amp; Assumptions'!B33</f>
        <v>150</v>
      </c>
      <c r="G39" s="60"/>
      <c r="H39" s="67" t="n">
        <f aca="false">'Norms &amp; Assumptions'!B35</f>
        <v>0.18</v>
      </c>
      <c r="I39" s="68"/>
      <c r="J39" s="69" t="str">
        <f aca="false">IF(G39="","",G39-F39)</f>
        <v/>
      </c>
      <c r="K39" s="70" t="str">
        <f aca="false">IF(I39="","",I39-H39)</f>
        <v/>
      </c>
      <c r="L39" s="32" t="str">
        <f aca="false">IF(OR(G39="",F39=0),"",G39/F39)</f>
        <v/>
      </c>
      <c r="M39" s="33"/>
    </row>
    <row r="40" customFormat="false" ht="18" hidden="false" customHeight="true" outlineLevel="0" collapsed="false">
      <c r="A40" s="57" t="n">
        <v>36</v>
      </c>
      <c r="B40" s="64"/>
      <c r="C40" s="33"/>
      <c r="D40" s="33"/>
      <c r="E40" s="10"/>
      <c r="F40" s="63" t="n">
        <f aca="false">'Norms &amp; Assumptions'!B33</f>
        <v>150</v>
      </c>
      <c r="G40" s="60"/>
      <c r="H40" s="67" t="n">
        <f aca="false">'Norms &amp; Assumptions'!B35</f>
        <v>0.18</v>
      </c>
      <c r="I40" s="68"/>
      <c r="J40" s="69" t="str">
        <f aca="false">IF(G40="","",G40-F40)</f>
        <v/>
      </c>
      <c r="K40" s="70" t="str">
        <f aca="false">IF(I40="","",I40-H40)</f>
        <v/>
      </c>
      <c r="L40" s="32" t="str">
        <f aca="false">IF(OR(G40="",F40=0),"",G40/F40)</f>
        <v/>
      </c>
      <c r="M40" s="33"/>
    </row>
    <row r="41" customFormat="false" ht="18" hidden="false" customHeight="true" outlineLevel="0" collapsed="false">
      <c r="A41" s="57" t="n">
        <v>37</v>
      </c>
      <c r="B41" s="64"/>
      <c r="C41" s="33"/>
      <c r="D41" s="33"/>
      <c r="E41" s="10"/>
      <c r="F41" s="63" t="n">
        <f aca="false">'Norms &amp; Assumptions'!B33</f>
        <v>150</v>
      </c>
      <c r="G41" s="60"/>
      <c r="H41" s="67" t="n">
        <f aca="false">'Norms &amp; Assumptions'!B35</f>
        <v>0.18</v>
      </c>
      <c r="I41" s="68"/>
      <c r="J41" s="69" t="str">
        <f aca="false">IF(G41="","",G41-F41)</f>
        <v/>
      </c>
      <c r="K41" s="70" t="str">
        <f aca="false">IF(I41="","",I41-H41)</f>
        <v/>
      </c>
      <c r="L41" s="32" t="str">
        <f aca="false">IF(OR(G41="",F41=0),"",G41/F41)</f>
        <v/>
      </c>
      <c r="M41" s="33"/>
    </row>
    <row r="42" customFormat="false" ht="18" hidden="false" customHeight="true" outlineLevel="0" collapsed="false">
      <c r="A42" s="57" t="n">
        <v>38</v>
      </c>
      <c r="B42" s="64"/>
      <c r="C42" s="33"/>
      <c r="D42" s="33"/>
      <c r="E42" s="10"/>
      <c r="F42" s="63" t="n">
        <f aca="false">'Norms &amp; Assumptions'!B33</f>
        <v>150</v>
      </c>
      <c r="G42" s="60"/>
      <c r="H42" s="67" t="n">
        <f aca="false">'Norms &amp; Assumptions'!B35</f>
        <v>0.18</v>
      </c>
      <c r="I42" s="68"/>
      <c r="J42" s="69" t="str">
        <f aca="false">IF(G42="","",G42-F42)</f>
        <v/>
      </c>
      <c r="K42" s="70" t="str">
        <f aca="false">IF(I42="","",I42-H42)</f>
        <v/>
      </c>
      <c r="L42" s="32" t="str">
        <f aca="false">IF(OR(G42="",F42=0),"",G42/F42)</f>
        <v/>
      </c>
      <c r="M42" s="33"/>
    </row>
    <row r="43" customFormat="false" ht="18" hidden="false" customHeight="true" outlineLevel="0" collapsed="false">
      <c r="A43" s="57" t="n">
        <v>39</v>
      </c>
      <c r="B43" s="64"/>
      <c r="C43" s="33"/>
      <c r="D43" s="33"/>
      <c r="E43" s="10"/>
      <c r="F43" s="63" t="n">
        <f aca="false">'Norms &amp; Assumptions'!B33</f>
        <v>150</v>
      </c>
      <c r="G43" s="60"/>
      <c r="H43" s="67" t="n">
        <f aca="false">'Norms &amp; Assumptions'!B35</f>
        <v>0.18</v>
      </c>
      <c r="I43" s="68"/>
      <c r="J43" s="69" t="str">
        <f aca="false">IF(G43="","",G43-F43)</f>
        <v/>
      </c>
      <c r="K43" s="70" t="str">
        <f aca="false">IF(I43="","",I43-H43)</f>
        <v/>
      </c>
      <c r="L43" s="32" t="str">
        <f aca="false">IF(OR(G43="",F43=0),"",G43/F43)</f>
        <v/>
      </c>
      <c r="M43" s="33"/>
    </row>
    <row r="44" customFormat="false" ht="18" hidden="false" customHeight="true" outlineLevel="0" collapsed="false">
      <c r="A44" s="57" t="n">
        <v>40</v>
      </c>
      <c r="B44" s="64"/>
      <c r="C44" s="33"/>
      <c r="D44" s="33"/>
      <c r="E44" s="10"/>
      <c r="F44" s="63" t="n">
        <f aca="false">'Norms &amp; Assumptions'!B33</f>
        <v>150</v>
      </c>
      <c r="G44" s="60"/>
      <c r="H44" s="67" t="n">
        <f aca="false">'Norms &amp; Assumptions'!B35</f>
        <v>0.18</v>
      </c>
      <c r="I44" s="68"/>
      <c r="J44" s="69" t="str">
        <f aca="false">IF(G44="","",G44-F44)</f>
        <v/>
      </c>
      <c r="K44" s="70" t="str">
        <f aca="false">IF(I44="","",I44-H44)</f>
        <v/>
      </c>
      <c r="L44" s="32" t="str">
        <f aca="false">IF(OR(G44="",F44=0),"",G44/F44)</f>
        <v/>
      </c>
      <c r="M44" s="33"/>
    </row>
    <row r="45" customFormat="false" ht="18" hidden="false" customHeight="true" outlineLevel="0" collapsed="false">
      <c r="A45" s="57" t="n">
        <v>41</v>
      </c>
      <c r="B45" s="64"/>
      <c r="C45" s="33"/>
      <c r="D45" s="33"/>
      <c r="E45" s="10"/>
      <c r="F45" s="63" t="n">
        <f aca="false">'Norms &amp; Assumptions'!B33</f>
        <v>150</v>
      </c>
      <c r="G45" s="60"/>
      <c r="H45" s="67" t="n">
        <f aca="false">'Norms &amp; Assumptions'!B35</f>
        <v>0.18</v>
      </c>
      <c r="I45" s="68"/>
      <c r="J45" s="69" t="str">
        <f aca="false">IF(G45="","",G45-F45)</f>
        <v/>
      </c>
      <c r="K45" s="70" t="str">
        <f aca="false">IF(I45="","",I45-H45)</f>
        <v/>
      </c>
      <c r="L45" s="32" t="str">
        <f aca="false">IF(OR(G45="",F45=0),"",G45/F45)</f>
        <v/>
      </c>
      <c r="M45" s="33"/>
    </row>
    <row r="46" customFormat="false" ht="18" hidden="false" customHeight="true" outlineLevel="0" collapsed="false">
      <c r="A46" s="57" t="n">
        <v>42</v>
      </c>
      <c r="B46" s="64"/>
      <c r="C46" s="33"/>
      <c r="D46" s="33"/>
      <c r="E46" s="10"/>
      <c r="F46" s="63" t="n">
        <f aca="false">'Norms &amp; Assumptions'!B33</f>
        <v>150</v>
      </c>
      <c r="G46" s="60"/>
      <c r="H46" s="67" t="n">
        <f aca="false">'Norms &amp; Assumptions'!B35</f>
        <v>0.18</v>
      </c>
      <c r="I46" s="68"/>
      <c r="J46" s="69" t="str">
        <f aca="false">IF(G46="","",G46-F46)</f>
        <v/>
      </c>
      <c r="K46" s="70" t="str">
        <f aca="false">IF(I46="","",I46-H46)</f>
        <v/>
      </c>
      <c r="L46" s="32" t="str">
        <f aca="false">IF(OR(G46="",F46=0),"",G46/F46)</f>
        <v/>
      </c>
      <c r="M46" s="33"/>
    </row>
    <row r="47" customFormat="false" ht="18" hidden="false" customHeight="true" outlineLevel="0" collapsed="false">
      <c r="A47" s="57" t="n">
        <v>43</v>
      </c>
      <c r="B47" s="64"/>
      <c r="C47" s="33"/>
      <c r="D47" s="33"/>
      <c r="E47" s="10"/>
      <c r="F47" s="63" t="n">
        <f aca="false">'Norms &amp; Assumptions'!B33</f>
        <v>150</v>
      </c>
      <c r="G47" s="60"/>
      <c r="H47" s="67" t="n">
        <f aca="false">'Norms &amp; Assumptions'!B35</f>
        <v>0.18</v>
      </c>
      <c r="I47" s="68"/>
      <c r="J47" s="69" t="str">
        <f aca="false">IF(G47="","",G47-F47)</f>
        <v/>
      </c>
      <c r="K47" s="70" t="str">
        <f aca="false">IF(I47="","",I47-H47)</f>
        <v/>
      </c>
      <c r="L47" s="32" t="str">
        <f aca="false">IF(OR(G47="",F47=0),"",G47/F47)</f>
        <v/>
      </c>
      <c r="M47" s="33"/>
    </row>
    <row r="48" customFormat="false" ht="18" hidden="false" customHeight="true" outlineLevel="0" collapsed="false">
      <c r="A48" s="57" t="n">
        <v>44</v>
      </c>
      <c r="B48" s="64"/>
      <c r="C48" s="33"/>
      <c r="D48" s="33"/>
      <c r="E48" s="10"/>
      <c r="F48" s="63" t="n">
        <f aca="false">'Norms &amp; Assumptions'!B33</f>
        <v>150</v>
      </c>
      <c r="G48" s="60"/>
      <c r="H48" s="67" t="n">
        <f aca="false">'Norms &amp; Assumptions'!B35</f>
        <v>0.18</v>
      </c>
      <c r="I48" s="68"/>
      <c r="J48" s="69" t="str">
        <f aca="false">IF(G48="","",G48-F48)</f>
        <v/>
      </c>
      <c r="K48" s="70" t="str">
        <f aca="false">IF(I48="","",I48-H48)</f>
        <v/>
      </c>
      <c r="L48" s="32" t="str">
        <f aca="false">IF(OR(G48="",F48=0),"",G48/F48)</f>
        <v/>
      </c>
      <c r="M48" s="33"/>
    </row>
    <row r="49" customFormat="false" ht="18" hidden="false" customHeight="true" outlineLevel="0" collapsed="false">
      <c r="A49" s="57" t="n">
        <v>45</v>
      </c>
      <c r="B49" s="64"/>
      <c r="C49" s="33"/>
      <c r="D49" s="33"/>
      <c r="E49" s="10"/>
      <c r="F49" s="63" t="n">
        <f aca="false">'Norms &amp; Assumptions'!B33</f>
        <v>150</v>
      </c>
      <c r="G49" s="60"/>
      <c r="H49" s="67" t="n">
        <f aca="false">'Norms &amp; Assumptions'!B35</f>
        <v>0.18</v>
      </c>
      <c r="I49" s="68"/>
      <c r="J49" s="69" t="str">
        <f aca="false">IF(G49="","",G49-F49)</f>
        <v/>
      </c>
      <c r="K49" s="70" t="str">
        <f aca="false">IF(I49="","",I49-H49)</f>
        <v/>
      </c>
      <c r="L49" s="32" t="str">
        <f aca="false">IF(OR(G49="",F49=0),"",G49/F49)</f>
        <v/>
      </c>
      <c r="M49" s="33"/>
    </row>
    <row r="50" customFormat="false" ht="18" hidden="false" customHeight="true" outlineLevel="0" collapsed="false">
      <c r="A50" s="57" t="n">
        <v>46</v>
      </c>
      <c r="B50" s="64"/>
      <c r="C50" s="33"/>
      <c r="D50" s="33"/>
      <c r="E50" s="10"/>
      <c r="F50" s="63" t="n">
        <f aca="false">'Norms &amp; Assumptions'!B33</f>
        <v>150</v>
      </c>
      <c r="G50" s="60"/>
      <c r="H50" s="67" t="n">
        <f aca="false">'Norms &amp; Assumptions'!B35</f>
        <v>0.18</v>
      </c>
      <c r="I50" s="68"/>
      <c r="J50" s="69" t="str">
        <f aca="false">IF(G50="","",G50-F50)</f>
        <v/>
      </c>
      <c r="K50" s="70" t="str">
        <f aca="false">IF(I50="","",I50-H50)</f>
        <v/>
      </c>
      <c r="L50" s="32" t="str">
        <f aca="false">IF(OR(G50="",F50=0),"",G50/F50)</f>
        <v/>
      </c>
      <c r="M50" s="33"/>
    </row>
    <row r="51" customFormat="false" ht="18" hidden="false" customHeight="true" outlineLevel="0" collapsed="false">
      <c r="A51" s="57" t="n">
        <v>47</v>
      </c>
      <c r="B51" s="64"/>
      <c r="C51" s="33"/>
      <c r="D51" s="33"/>
      <c r="E51" s="10"/>
      <c r="F51" s="63" t="n">
        <f aca="false">'Norms &amp; Assumptions'!B33</f>
        <v>150</v>
      </c>
      <c r="G51" s="60"/>
      <c r="H51" s="67" t="n">
        <f aca="false">'Norms &amp; Assumptions'!B35</f>
        <v>0.18</v>
      </c>
      <c r="I51" s="68"/>
      <c r="J51" s="69" t="str">
        <f aca="false">IF(G51="","",G51-F51)</f>
        <v/>
      </c>
      <c r="K51" s="70" t="str">
        <f aca="false">IF(I51="","",I51-H51)</f>
        <v/>
      </c>
      <c r="L51" s="32" t="str">
        <f aca="false">IF(OR(G51="",F51=0),"",G51/F51)</f>
        <v/>
      </c>
      <c r="M51" s="33"/>
    </row>
    <row r="52" customFormat="false" ht="18" hidden="false" customHeight="true" outlineLevel="0" collapsed="false">
      <c r="A52" s="57" t="n">
        <v>48</v>
      </c>
      <c r="B52" s="64"/>
      <c r="C52" s="33"/>
      <c r="D52" s="33"/>
      <c r="E52" s="10"/>
      <c r="F52" s="63" t="n">
        <f aca="false">'Norms &amp; Assumptions'!B33</f>
        <v>150</v>
      </c>
      <c r="G52" s="60"/>
      <c r="H52" s="67" t="n">
        <f aca="false">'Norms &amp; Assumptions'!B35</f>
        <v>0.18</v>
      </c>
      <c r="I52" s="68"/>
      <c r="J52" s="69" t="str">
        <f aca="false">IF(G52="","",G52-F52)</f>
        <v/>
      </c>
      <c r="K52" s="70" t="str">
        <f aca="false">IF(I52="","",I52-H52)</f>
        <v/>
      </c>
      <c r="L52" s="32" t="str">
        <f aca="false">IF(OR(G52="",F52=0),"",G52/F52)</f>
        <v/>
      </c>
      <c r="M52" s="33"/>
    </row>
    <row r="53" customFormat="false" ht="18" hidden="false" customHeight="true" outlineLevel="0" collapsed="false">
      <c r="A53" s="57" t="n">
        <v>49</v>
      </c>
      <c r="B53" s="64"/>
      <c r="C53" s="33"/>
      <c r="D53" s="33"/>
      <c r="E53" s="10"/>
      <c r="F53" s="63" t="n">
        <f aca="false">'Norms &amp; Assumptions'!B33</f>
        <v>150</v>
      </c>
      <c r="G53" s="60"/>
      <c r="H53" s="67" t="n">
        <f aca="false">'Norms &amp; Assumptions'!B35</f>
        <v>0.18</v>
      </c>
      <c r="I53" s="68"/>
      <c r="J53" s="69" t="str">
        <f aca="false">IF(G53="","",G53-F53)</f>
        <v/>
      </c>
      <c r="K53" s="70" t="str">
        <f aca="false">IF(I53="","",I53-H53)</f>
        <v/>
      </c>
      <c r="L53" s="32" t="str">
        <f aca="false">IF(OR(G53="",F53=0),"",G53/F53)</f>
        <v/>
      </c>
      <c r="M53" s="33"/>
    </row>
    <row r="54" customFormat="false" ht="18" hidden="false" customHeight="true" outlineLevel="0" collapsed="false">
      <c r="A54" s="57" t="n">
        <v>50</v>
      </c>
      <c r="B54" s="64"/>
      <c r="C54" s="33"/>
      <c r="D54" s="33"/>
      <c r="E54" s="10"/>
      <c r="F54" s="63" t="n">
        <f aca="false">'Norms &amp; Assumptions'!B33</f>
        <v>150</v>
      </c>
      <c r="G54" s="60"/>
      <c r="H54" s="67" t="n">
        <f aca="false">'Norms &amp; Assumptions'!B35</f>
        <v>0.18</v>
      </c>
      <c r="I54" s="68"/>
      <c r="J54" s="69" t="str">
        <f aca="false">IF(G54="","",G54-F54)</f>
        <v/>
      </c>
      <c r="K54" s="70" t="str">
        <f aca="false">IF(I54="","",I54-H54)</f>
        <v/>
      </c>
      <c r="L54" s="32" t="str">
        <f aca="false">IF(OR(G54="",F54=0),"",G54/F54)</f>
        <v/>
      </c>
      <c r="M54" s="33"/>
    </row>
    <row r="55" customFormat="false" ht="18" hidden="false" customHeight="true" outlineLevel="0" collapsed="false">
      <c r="A55" s="57" t="n">
        <v>51</v>
      </c>
      <c r="B55" s="64"/>
      <c r="C55" s="33"/>
      <c r="D55" s="33"/>
      <c r="E55" s="10"/>
      <c r="F55" s="63" t="n">
        <f aca="false">'Norms &amp; Assumptions'!B33</f>
        <v>150</v>
      </c>
      <c r="G55" s="60"/>
      <c r="H55" s="67" t="n">
        <f aca="false">'Norms &amp; Assumptions'!B35</f>
        <v>0.18</v>
      </c>
      <c r="I55" s="68"/>
      <c r="J55" s="69" t="str">
        <f aca="false">IF(G55="","",G55-F55)</f>
        <v/>
      </c>
      <c r="K55" s="70" t="str">
        <f aca="false">IF(I55="","",I55-H55)</f>
        <v/>
      </c>
      <c r="L55" s="32" t="str">
        <f aca="false">IF(OR(G55="",F55=0),"",G55/F55)</f>
        <v/>
      </c>
      <c r="M55" s="33"/>
    </row>
    <row r="56" customFormat="false" ht="18" hidden="false" customHeight="true" outlineLevel="0" collapsed="false">
      <c r="A56" s="57" t="n">
        <v>52</v>
      </c>
      <c r="B56" s="64"/>
      <c r="C56" s="33"/>
      <c r="D56" s="33"/>
      <c r="E56" s="10"/>
      <c r="F56" s="63" t="n">
        <f aca="false">'Norms &amp; Assumptions'!B33</f>
        <v>150</v>
      </c>
      <c r="G56" s="60"/>
      <c r="H56" s="67" t="n">
        <f aca="false">'Norms &amp; Assumptions'!B35</f>
        <v>0.18</v>
      </c>
      <c r="I56" s="68"/>
      <c r="J56" s="69" t="str">
        <f aca="false">IF(G56="","",G56-F56)</f>
        <v/>
      </c>
      <c r="K56" s="70" t="str">
        <f aca="false">IF(I56="","",I56-H56)</f>
        <v/>
      </c>
      <c r="L56" s="32" t="str">
        <f aca="false">IF(OR(G56="",F56=0),"",G56/F56)</f>
        <v/>
      </c>
      <c r="M56" s="33"/>
    </row>
    <row r="57" customFormat="false" ht="18" hidden="false" customHeight="true" outlineLevel="0" collapsed="false">
      <c r="A57" s="57" t="n">
        <v>53</v>
      </c>
      <c r="B57" s="64"/>
      <c r="C57" s="33"/>
      <c r="D57" s="33"/>
      <c r="E57" s="10"/>
      <c r="F57" s="63" t="n">
        <f aca="false">'Norms &amp; Assumptions'!B33</f>
        <v>150</v>
      </c>
      <c r="G57" s="60"/>
      <c r="H57" s="67" t="n">
        <f aca="false">'Norms &amp; Assumptions'!B35</f>
        <v>0.18</v>
      </c>
      <c r="I57" s="68"/>
      <c r="J57" s="69" t="str">
        <f aca="false">IF(G57="","",G57-F57)</f>
        <v/>
      </c>
      <c r="K57" s="70" t="str">
        <f aca="false">IF(I57="","",I57-H57)</f>
        <v/>
      </c>
      <c r="L57" s="32" t="str">
        <f aca="false">IF(OR(G57="",F57=0),"",G57/F57)</f>
        <v/>
      </c>
      <c r="M57" s="33"/>
    </row>
    <row r="58" customFormat="false" ht="18" hidden="false" customHeight="true" outlineLevel="0" collapsed="false">
      <c r="A58" s="57" t="n">
        <v>54</v>
      </c>
      <c r="B58" s="64"/>
      <c r="C58" s="33"/>
      <c r="D58" s="33"/>
      <c r="E58" s="10"/>
      <c r="F58" s="63" t="n">
        <f aca="false">'Norms &amp; Assumptions'!B33</f>
        <v>150</v>
      </c>
      <c r="G58" s="60"/>
      <c r="H58" s="67" t="n">
        <f aca="false">'Norms &amp; Assumptions'!B35</f>
        <v>0.18</v>
      </c>
      <c r="I58" s="68"/>
      <c r="J58" s="69" t="str">
        <f aca="false">IF(G58="","",G58-F58)</f>
        <v/>
      </c>
      <c r="K58" s="70" t="str">
        <f aca="false">IF(I58="","",I58-H58)</f>
        <v/>
      </c>
      <c r="L58" s="32" t="str">
        <f aca="false">IF(OR(G58="",F58=0),"",G58/F58)</f>
        <v/>
      </c>
      <c r="M58" s="33"/>
    </row>
    <row r="59" customFormat="false" ht="18" hidden="false" customHeight="true" outlineLevel="0" collapsed="false">
      <c r="A59" s="57" t="n">
        <v>55</v>
      </c>
      <c r="B59" s="64"/>
      <c r="C59" s="33"/>
      <c r="D59" s="33"/>
      <c r="E59" s="10"/>
      <c r="F59" s="63" t="n">
        <f aca="false">'Norms &amp; Assumptions'!B33</f>
        <v>150</v>
      </c>
      <c r="G59" s="60"/>
      <c r="H59" s="67" t="n">
        <f aca="false">'Norms &amp; Assumptions'!B35</f>
        <v>0.18</v>
      </c>
      <c r="I59" s="68"/>
      <c r="J59" s="69" t="str">
        <f aca="false">IF(G59="","",G59-F59)</f>
        <v/>
      </c>
      <c r="K59" s="70" t="str">
        <f aca="false">IF(I59="","",I59-H59)</f>
        <v/>
      </c>
      <c r="L59" s="32" t="str">
        <f aca="false">IF(OR(G59="",F59=0),"",G59/F59)</f>
        <v/>
      </c>
      <c r="M59" s="33"/>
    </row>
    <row r="60" customFormat="false" ht="18" hidden="false" customHeight="true" outlineLevel="0" collapsed="false">
      <c r="A60" s="57" t="n">
        <v>56</v>
      </c>
      <c r="B60" s="64"/>
      <c r="C60" s="33"/>
      <c r="D60" s="33"/>
      <c r="E60" s="10"/>
      <c r="F60" s="63" t="n">
        <f aca="false">'Norms &amp; Assumptions'!B33</f>
        <v>150</v>
      </c>
      <c r="G60" s="60"/>
      <c r="H60" s="67" t="n">
        <f aca="false">'Norms &amp; Assumptions'!B35</f>
        <v>0.18</v>
      </c>
      <c r="I60" s="68"/>
      <c r="J60" s="69" t="str">
        <f aca="false">IF(G60="","",G60-F60)</f>
        <v/>
      </c>
      <c r="K60" s="70" t="str">
        <f aca="false">IF(I60="","",I60-H60)</f>
        <v/>
      </c>
      <c r="L60" s="32" t="str">
        <f aca="false">IF(OR(G60="",F60=0),"",G60/F60)</f>
        <v/>
      </c>
      <c r="M60" s="33"/>
    </row>
    <row r="61" customFormat="false" ht="18" hidden="false" customHeight="true" outlineLevel="0" collapsed="false">
      <c r="A61" s="57" t="n">
        <v>57</v>
      </c>
      <c r="B61" s="64"/>
      <c r="C61" s="33"/>
      <c r="D61" s="33"/>
      <c r="E61" s="10"/>
      <c r="F61" s="63" t="n">
        <f aca="false">'Norms &amp; Assumptions'!B33</f>
        <v>150</v>
      </c>
      <c r="G61" s="60"/>
      <c r="H61" s="67" t="n">
        <f aca="false">'Norms &amp; Assumptions'!B35</f>
        <v>0.18</v>
      </c>
      <c r="I61" s="68"/>
      <c r="J61" s="69" t="str">
        <f aca="false">IF(G61="","",G61-F61)</f>
        <v/>
      </c>
      <c r="K61" s="70" t="str">
        <f aca="false">IF(I61="","",I61-H61)</f>
        <v/>
      </c>
      <c r="L61" s="32" t="str">
        <f aca="false">IF(OR(G61="",F61=0),"",G61/F61)</f>
        <v/>
      </c>
      <c r="M61" s="33"/>
    </row>
    <row r="62" customFormat="false" ht="18" hidden="false" customHeight="true" outlineLevel="0" collapsed="false">
      <c r="A62" s="57" t="n">
        <v>58</v>
      </c>
      <c r="B62" s="64"/>
      <c r="C62" s="33"/>
      <c r="D62" s="33"/>
      <c r="E62" s="10"/>
      <c r="F62" s="63" t="n">
        <f aca="false">'Norms &amp; Assumptions'!B33</f>
        <v>150</v>
      </c>
      <c r="G62" s="60"/>
      <c r="H62" s="67" t="n">
        <f aca="false">'Norms &amp; Assumptions'!B35</f>
        <v>0.18</v>
      </c>
      <c r="I62" s="68"/>
      <c r="J62" s="69" t="str">
        <f aca="false">IF(G62="","",G62-F62)</f>
        <v/>
      </c>
      <c r="K62" s="70" t="str">
        <f aca="false">IF(I62="","",I62-H62)</f>
        <v/>
      </c>
      <c r="L62" s="32" t="str">
        <f aca="false">IF(OR(G62="",F62=0),"",G62/F62)</f>
        <v/>
      </c>
      <c r="M62" s="33"/>
    </row>
    <row r="63" customFormat="false" ht="18" hidden="false" customHeight="true" outlineLevel="0" collapsed="false">
      <c r="A63" s="57" t="n">
        <v>59</v>
      </c>
      <c r="B63" s="64"/>
      <c r="C63" s="33"/>
      <c r="D63" s="33"/>
      <c r="E63" s="10"/>
      <c r="F63" s="63" t="n">
        <f aca="false">'Norms &amp; Assumptions'!B33</f>
        <v>150</v>
      </c>
      <c r="G63" s="60"/>
      <c r="H63" s="67" t="n">
        <f aca="false">'Norms &amp; Assumptions'!B35</f>
        <v>0.18</v>
      </c>
      <c r="I63" s="68"/>
      <c r="J63" s="69" t="str">
        <f aca="false">IF(G63="","",G63-F63)</f>
        <v/>
      </c>
      <c r="K63" s="70" t="str">
        <f aca="false">IF(I63="","",I63-H63)</f>
        <v/>
      </c>
      <c r="L63" s="32" t="str">
        <f aca="false">IF(OR(G63="",F63=0),"",G63/F63)</f>
        <v/>
      </c>
      <c r="M63" s="33"/>
    </row>
    <row r="64" customFormat="false" ht="18" hidden="false" customHeight="true" outlineLevel="0" collapsed="false">
      <c r="A64" s="57" t="n">
        <v>60</v>
      </c>
      <c r="B64" s="64"/>
      <c r="C64" s="33"/>
      <c r="D64" s="33"/>
      <c r="E64" s="10"/>
      <c r="F64" s="63" t="n">
        <f aca="false">'Norms &amp; Assumptions'!B33</f>
        <v>150</v>
      </c>
      <c r="G64" s="60"/>
      <c r="H64" s="67" t="n">
        <f aca="false">'Norms &amp; Assumptions'!B35</f>
        <v>0.18</v>
      </c>
      <c r="I64" s="68"/>
      <c r="J64" s="69" t="str">
        <f aca="false">IF(G64="","",G64-F64)</f>
        <v/>
      </c>
      <c r="K64" s="70" t="str">
        <f aca="false">IF(I64="","",I64-H64)</f>
        <v/>
      </c>
      <c r="L64" s="32" t="str">
        <f aca="false">IF(OR(G64="",F64=0),"",G64/F64)</f>
        <v/>
      </c>
      <c r="M64" s="33"/>
    </row>
    <row r="65" customFormat="false" ht="18" hidden="false" customHeight="true" outlineLevel="0" collapsed="false">
      <c r="A65" s="57" t="n">
        <v>61</v>
      </c>
      <c r="B65" s="64"/>
      <c r="C65" s="33"/>
      <c r="D65" s="33"/>
      <c r="E65" s="10"/>
      <c r="F65" s="63" t="n">
        <f aca="false">'Norms &amp; Assumptions'!B33</f>
        <v>150</v>
      </c>
      <c r="G65" s="60"/>
      <c r="H65" s="67" t="n">
        <f aca="false">'Norms &amp; Assumptions'!B35</f>
        <v>0.18</v>
      </c>
      <c r="I65" s="68"/>
      <c r="J65" s="69" t="str">
        <f aca="false">IF(G65="","",G65-F65)</f>
        <v/>
      </c>
      <c r="K65" s="70" t="str">
        <f aca="false">IF(I65="","",I65-H65)</f>
        <v/>
      </c>
      <c r="L65" s="32" t="str">
        <f aca="false">IF(OR(G65="",F65=0),"",G65/F65)</f>
        <v/>
      </c>
      <c r="M65" s="33"/>
    </row>
    <row r="66" customFormat="false" ht="18" hidden="false" customHeight="true" outlineLevel="0" collapsed="false">
      <c r="A66" s="57" t="n">
        <v>62</v>
      </c>
      <c r="B66" s="64"/>
      <c r="C66" s="33"/>
      <c r="D66" s="33"/>
      <c r="E66" s="10"/>
      <c r="F66" s="63" t="n">
        <f aca="false">'Norms &amp; Assumptions'!B33</f>
        <v>150</v>
      </c>
      <c r="G66" s="60"/>
      <c r="H66" s="67" t="n">
        <f aca="false">'Norms &amp; Assumptions'!B35</f>
        <v>0.18</v>
      </c>
      <c r="I66" s="68"/>
      <c r="J66" s="69" t="str">
        <f aca="false">IF(G66="","",G66-F66)</f>
        <v/>
      </c>
      <c r="K66" s="70" t="str">
        <f aca="false">IF(I66="","",I66-H66)</f>
        <v/>
      </c>
      <c r="L66" s="32" t="str">
        <f aca="false">IF(OR(G66="",F66=0),"",G66/F66)</f>
        <v/>
      </c>
      <c r="M66" s="33"/>
    </row>
    <row r="67" customFormat="false" ht="18" hidden="false" customHeight="true" outlineLevel="0" collapsed="false">
      <c r="A67" s="57" t="n">
        <v>63</v>
      </c>
      <c r="B67" s="64"/>
      <c r="C67" s="33"/>
      <c r="D67" s="33"/>
      <c r="E67" s="10"/>
      <c r="F67" s="63" t="n">
        <f aca="false">'Norms &amp; Assumptions'!B33</f>
        <v>150</v>
      </c>
      <c r="G67" s="60"/>
      <c r="H67" s="67" t="n">
        <f aca="false">'Norms &amp; Assumptions'!B35</f>
        <v>0.18</v>
      </c>
      <c r="I67" s="68"/>
      <c r="J67" s="69" t="str">
        <f aca="false">IF(G67="","",G67-F67)</f>
        <v/>
      </c>
      <c r="K67" s="70" t="str">
        <f aca="false">IF(I67="","",I67-H67)</f>
        <v/>
      </c>
      <c r="L67" s="32" t="str">
        <f aca="false">IF(OR(G67="",F67=0),"",G67/F67)</f>
        <v/>
      </c>
      <c r="M67" s="33"/>
    </row>
    <row r="68" customFormat="false" ht="18" hidden="false" customHeight="true" outlineLevel="0" collapsed="false">
      <c r="A68" s="57" t="n">
        <v>64</v>
      </c>
      <c r="B68" s="64"/>
      <c r="C68" s="33"/>
      <c r="D68" s="33"/>
      <c r="E68" s="10"/>
      <c r="F68" s="63" t="n">
        <f aca="false">'Norms &amp; Assumptions'!B33</f>
        <v>150</v>
      </c>
      <c r="G68" s="60"/>
      <c r="H68" s="67" t="n">
        <f aca="false">'Norms &amp; Assumptions'!B35</f>
        <v>0.18</v>
      </c>
      <c r="I68" s="68"/>
      <c r="J68" s="69" t="str">
        <f aca="false">IF(G68="","",G68-F68)</f>
        <v/>
      </c>
      <c r="K68" s="70" t="str">
        <f aca="false">IF(I68="","",I68-H68)</f>
        <v/>
      </c>
      <c r="L68" s="32" t="str">
        <f aca="false">IF(OR(G68="",F68=0),"",G68/F68)</f>
        <v/>
      </c>
      <c r="M68" s="33"/>
    </row>
    <row r="69" customFormat="false" ht="18" hidden="false" customHeight="true" outlineLevel="0" collapsed="false">
      <c r="A69" s="57" t="n">
        <v>65</v>
      </c>
      <c r="B69" s="64"/>
      <c r="C69" s="33"/>
      <c r="D69" s="33"/>
      <c r="E69" s="10"/>
      <c r="F69" s="63" t="n">
        <f aca="false">'Norms &amp; Assumptions'!B33</f>
        <v>150</v>
      </c>
      <c r="G69" s="60"/>
      <c r="H69" s="67" t="n">
        <f aca="false">'Norms &amp; Assumptions'!B35</f>
        <v>0.18</v>
      </c>
      <c r="I69" s="68"/>
      <c r="J69" s="69" t="str">
        <f aca="false">IF(G69="","",G69-F69)</f>
        <v/>
      </c>
      <c r="K69" s="70" t="str">
        <f aca="false">IF(I69="","",I69-H69)</f>
        <v/>
      </c>
      <c r="L69" s="32" t="str">
        <f aca="false">IF(OR(G69="",F69=0),"",G69/F69)</f>
        <v/>
      </c>
      <c r="M69" s="33"/>
    </row>
    <row r="70" customFormat="false" ht="18" hidden="false" customHeight="true" outlineLevel="0" collapsed="false">
      <c r="A70" s="57" t="n">
        <v>66</v>
      </c>
      <c r="B70" s="64"/>
      <c r="C70" s="33"/>
      <c r="D70" s="33"/>
      <c r="E70" s="10"/>
      <c r="F70" s="63" t="n">
        <f aca="false">'Norms &amp; Assumptions'!B33</f>
        <v>150</v>
      </c>
      <c r="G70" s="60"/>
      <c r="H70" s="67" t="n">
        <f aca="false">'Norms &amp; Assumptions'!B35</f>
        <v>0.18</v>
      </c>
      <c r="I70" s="68"/>
      <c r="J70" s="69" t="str">
        <f aca="false">IF(G70="","",G70-F70)</f>
        <v/>
      </c>
      <c r="K70" s="70" t="str">
        <f aca="false">IF(I70="","",I70-H70)</f>
        <v/>
      </c>
      <c r="L70" s="32" t="str">
        <f aca="false">IF(OR(G70="",F70=0),"",G70/F70)</f>
        <v/>
      </c>
      <c r="M70" s="33"/>
    </row>
    <row r="71" customFormat="false" ht="18" hidden="false" customHeight="true" outlineLevel="0" collapsed="false">
      <c r="A71" s="57" t="n">
        <v>67</v>
      </c>
      <c r="B71" s="64"/>
      <c r="C71" s="33"/>
      <c r="D71" s="33"/>
      <c r="E71" s="10"/>
      <c r="F71" s="63" t="n">
        <f aca="false">'Norms &amp; Assumptions'!B33</f>
        <v>150</v>
      </c>
      <c r="G71" s="60"/>
      <c r="H71" s="67" t="n">
        <f aca="false">'Norms &amp; Assumptions'!B35</f>
        <v>0.18</v>
      </c>
      <c r="I71" s="68"/>
      <c r="J71" s="69" t="str">
        <f aca="false">IF(G71="","",G71-F71)</f>
        <v/>
      </c>
      <c r="K71" s="70" t="str">
        <f aca="false">IF(I71="","",I71-H71)</f>
        <v/>
      </c>
      <c r="L71" s="32" t="str">
        <f aca="false">IF(OR(G71="",F71=0),"",G71/F71)</f>
        <v/>
      </c>
      <c r="M71" s="33"/>
    </row>
    <row r="72" customFormat="false" ht="18" hidden="false" customHeight="true" outlineLevel="0" collapsed="false">
      <c r="A72" s="57" t="n">
        <v>68</v>
      </c>
      <c r="B72" s="64"/>
      <c r="C72" s="33"/>
      <c r="D72" s="33"/>
      <c r="E72" s="10"/>
      <c r="F72" s="63" t="n">
        <f aca="false">'Norms &amp; Assumptions'!B33</f>
        <v>150</v>
      </c>
      <c r="G72" s="60"/>
      <c r="H72" s="67" t="n">
        <f aca="false">'Norms &amp; Assumptions'!B35</f>
        <v>0.18</v>
      </c>
      <c r="I72" s="68"/>
      <c r="J72" s="69" t="str">
        <f aca="false">IF(G72="","",G72-F72)</f>
        <v/>
      </c>
      <c r="K72" s="70" t="str">
        <f aca="false">IF(I72="","",I72-H72)</f>
        <v/>
      </c>
      <c r="L72" s="32" t="str">
        <f aca="false">IF(OR(G72="",F72=0),"",G72/F72)</f>
        <v/>
      </c>
      <c r="M72" s="33"/>
    </row>
    <row r="73" customFormat="false" ht="18" hidden="false" customHeight="true" outlineLevel="0" collapsed="false">
      <c r="A73" s="57" t="n">
        <v>69</v>
      </c>
      <c r="B73" s="64"/>
      <c r="C73" s="33"/>
      <c r="D73" s="33"/>
      <c r="E73" s="10"/>
      <c r="F73" s="63" t="n">
        <f aca="false">'Norms &amp; Assumptions'!B33</f>
        <v>150</v>
      </c>
      <c r="G73" s="60"/>
      <c r="H73" s="67" t="n">
        <f aca="false">'Norms &amp; Assumptions'!B35</f>
        <v>0.18</v>
      </c>
      <c r="I73" s="68"/>
      <c r="J73" s="69" t="str">
        <f aca="false">IF(G73="","",G73-F73)</f>
        <v/>
      </c>
      <c r="K73" s="70" t="str">
        <f aca="false">IF(I73="","",I73-H73)</f>
        <v/>
      </c>
      <c r="L73" s="32" t="str">
        <f aca="false">IF(OR(G73="",F73=0),"",G73/F73)</f>
        <v/>
      </c>
      <c r="M73" s="33"/>
    </row>
    <row r="74" customFormat="false" ht="18" hidden="false" customHeight="true" outlineLevel="0" collapsed="false">
      <c r="A74" s="57" t="n">
        <v>70</v>
      </c>
      <c r="B74" s="64"/>
      <c r="C74" s="33"/>
      <c r="D74" s="33"/>
      <c r="E74" s="10"/>
      <c r="F74" s="63" t="n">
        <f aca="false">'Norms &amp; Assumptions'!B33</f>
        <v>150</v>
      </c>
      <c r="G74" s="60"/>
      <c r="H74" s="67" t="n">
        <f aca="false">'Norms &amp; Assumptions'!B35</f>
        <v>0.18</v>
      </c>
      <c r="I74" s="68"/>
      <c r="J74" s="69" t="str">
        <f aca="false">IF(G74="","",G74-F74)</f>
        <v/>
      </c>
      <c r="K74" s="70" t="str">
        <f aca="false">IF(I74="","",I74-H74)</f>
        <v/>
      </c>
      <c r="L74" s="32" t="str">
        <f aca="false">IF(OR(G74="",F74=0),"",G74/F74)</f>
        <v/>
      </c>
      <c r="M74" s="33"/>
    </row>
    <row r="75" customFormat="false" ht="18" hidden="false" customHeight="true" outlineLevel="0" collapsed="false">
      <c r="A75" s="57" t="n">
        <v>71</v>
      </c>
      <c r="B75" s="64"/>
      <c r="C75" s="33"/>
      <c r="D75" s="33"/>
      <c r="E75" s="10"/>
      <c r="F75" s="63" t="n">
        <f aca="false">'Norms &amp; Assumptions'!B33</f>
        <v>150</v>
      </c>
      <c r="G75" s="60"/>
      <c r="H75" s="67" t="n">
        <f aca="false">'Norms &amp; Assumptions'!B35</f>
        <v>0.18</v>
      </c>
      <c r="I75" s="68"/>
      <c r="J75" s="69" t="str">
        <f aca="false">IF(G75="","",G75-F75)</f>
        <v/>
      </c>
      <c r="K75" s="70" t="str">
        <f aca="false">IF(I75="","",I75-H75)</f>
        <v/>
      </c>
      <c r="L75" s="32" t="str">
        <f aca="false">IF(OR(G75="",F75=0),"",G75/F75)</f>
        <v/>
      </c>
      <c r="M75" s="33"/>
    </row>
    <row r="76" customFormat="false" ht="18" hidden="false" customHeight="true" outlineLevel="0" collapsed="false">
      <c r="A76" s="57" t="n">
        <v>72</v>
      </c>
      <c r="B76" s="64"/>
      <c r="C76" s="33"/>
      <c r="D76" s="33"/>
      <c r="E76" s="10"/>
      <c r="F76" s="63" t="n">
        <f aca="false">'Norms &amp; Assumptions'!B33</f>
        <v>150</v>
      </c>
      <c r="G76" s="60"/>
      <c r="H76" s="67" t="n">
        <f aca="false">'Norms &amp; Assumptions'!B35</f>
        <v>0.18</v>
      </c>
      <c r="I76" s="68"/>
      <c r="J76" s="69" t="str">
        <f aca="false">IF(G76="","",G76-F76)</f>
        <v/>
      </c>
      <c r="K76" s="70" t="str">
        <f aca="false">IF(I76="","",I76-H76)</f>
        <v/>
      </c>
      <c r="L76" s="32" t="str">
        <f aca="false">IF(OR(G76="",F76=0),"",G76/F76)</f>
        <v/>
      </c>
      <c r="M76" s="33"/>
    </row>
    <row r="77" customFormat="false" ht="18" hidden="false" customHeight="true" outlineLevel="0" collapsed="false">
      <c r="A77" s="57" t="n">
        <v>73</v>
      </c>
      <c r="B77" s="64"/>
      <c r="C77" s="33"/>
      <c r="D77" s="33"/>
      <c r="E77" s="10"/>
      <c r="F77" s="63" t="n">
        <f aca="false">'Norms &amp; Assumptions'!B33</f>
        <v>150</v>
      </c>
      <c r="G77" s="60"/>
      <c r="H77" s="67" t="n">
        <f aca="false">'Norms &amp; Assumptions'!B35</f>
        <v>0.18</v>
      </c>
      <c r="I77" s="68"/>
      <c r="J77" s="69" t="str">
        <f aca="false">IF(G77="","",G77-F77)</f>
        <v/>
      </c>
      <c r="K77" s="70" t="str">
        <f aca="false">IF(I77="","",I77-H77)</f>
        <v/>
      </c>
      <c r="L77" s="32" t="str">
        <f aca="false">IF(OR(G77="",F77=0),"",G77/F77)</f>
        <v/>
      </c>
      <c r="M77" s="33"/>
    </row>
    <row r="78" customFormat="false" ht="18" hidden="false" customHeight="true" outlineLevel="0" collapsed="false">
      <c r="A78" s="57" t="n">
        <v>74</v>
      </c>
      <c r="B78" s="64"/>
      <c r="C78" s="33"/>
      <c r="D78" s="33"/>
      <c r="E78" s="10"/>
      <c r="F78" s="63" t="n">
        <f aca="false">'Norms &amp; Assumptions'!B33</f>
        <v>150</v>
      </c>
      <c r="G78" s="60"/>
      <c r="H78" s="67" t="n">
        <f aca="false">'Norms &amp; Assumptions'!B35</f>
        <v>0.18</v>
      </c>
      <c r="I78" s="68"/>
      <c r="J78" s="69" t="str">
        <f aca="false">IF(G78="","",G78-F78)</f>
        <v/>
      </c>
      <c r="K78" s="70" t="str">
        <f aca="false">IF(I78="","",I78-H78)</f>
        <v/>
      </c>
      <c r="L78" s="32" t="str">
        <f aca="false">IF(OR(G78="",F78=0),"",G78/F78)</f>
        <v/>
      </c>
      <c r="M78" s="33"/>
    </row>
    <row r="79" customFormat="false" ht="18" hidden="false" customHeight="true" outlineLevel="0" collapsed="false">
      <c r="A79" s="57" t="n">
        <v>75</v>
      </c>
      <c r="B79" s="64"/>
      <c r="C79" s="33"/>
      <c r="D79" s="33"/>
      <c r="E79" s="10"/>
      <c r="F79" s="63" t="n">
        <f aca="false">'Norms &amp; Assumptions'!B33</f>
        <v>150</v>
      </c>
      <c r="G79" s="60"/>
      <c r="H79" s="67" t="n">
        <f aca="false">'Norms &amp; Assumptions'!B35</f>
        <v>0.18</v>
      </c>
      <c r="I79" s="68"/>
      <c r="J79" s="69" t="str">
        <f aca="false">IF(G79="","",G79-F79)</f>
        <v/>
      </c>
      <c r="K79" s="70" t="str">
        <f aca="false">IF(I79="","",I79-H79)</f>
        <v/>
      </c>
      <c r="L79" s="32" t="str">
        <f aca="false">IF(OR(G79="",F79=0),"",G79/F79)</f>
        <v/>
      </c>
      <c r="M79" s="33"/>
    </row>
    <row r="80" customFormat="false" ht="18" hidden="false" customHeight="true" outlineLevel="0" collapsed="false">
      <c r="A80" s="57" t="n">
        <v>76</v>
      </c>
      <c r="B80" s="64"/>
      <c r="C80" s="33"/>
      <c r="D80" s="33"/>
      <c r="E80" s="10"/>
      <c r="F80" s="63" t="n">
        <f aca="false">'Norms &amp; Assumptions'!B33</f>
        <v>150</v>
      </c>
      <c r="G80" s="60"/>
      <c r="H80" s="67" t="n">
        <f aca="false">'Norms &amp; Assumptions'!B35</f>
        <v>0.18</v>
      </c>
      <c r="I80" s="68"/>
      <c r="J80" s="69" t="str">
        <f aca="false">IF(G80="","",G80-F80)</f>
        <v/>
      </c>
      <c r="K80" s="70" t="str">
        <f aca="false">IF(I80="","",I80-H80)</f>
        <v/>
      </c>
      <c r="L80" s="32" t="str">
        <f aca="false">IF(OR(G80="",F80=0),"",G80/F80)</f>
        <v/>
      </c>
      <c r="M80" s="33"/>
    </row>
    <row r="81" customFormat="false" ht="18" hidden="false" customHeight="true" outlineLevel="0" collapsed="false">
      <c r="A81" s="57" t="n">
        <v>77</v>
      </c>
      <c r="B81" s="64"/>
      <c r="C81" s="33"/>
      <c r="D81" s="33"/>
      <c r="E81" s="10"/>
      <c r="F81" s="63" t="n">
        <f aca="false">'Norms &amp; Assumptions'!B33</f>
        <v>150</v>
      </c>
      <c r="G81" s="60"/>
      <c r="H81" s="67" t="n">
        <f aca="false">'Norms &amp; Assumptions'!B35</f>
        <v>0.18</v>
      </c>
      <c r="I81" s="68"/>
      <c r="J81" s="69" t="str">
        <f aca="false">IF(G81="","",G81-F81)</f>
        <v/>
      </c>
      <c r="K81" s="70" t="str">
        <f aca="false">IF(I81="","",I81-H81)</f>
        <v/>
      </c>
      <c r="L81" s="32" t="str">
        <f aca="false">IF(OR(G81="",F81=0),"",G81/F81)</f>
        <v/>
      </c>
      <c r="M81" s="33"/>
    </row>
    <row r="82" customFormat="false" ht="18" hidden="false" customHeight="true" outlineLevel="0" collapsed="false">
      <c r="A82" s="57" t="n">
        <v>78</v>
      </c>
      <c r="B82" s="64"/>
      <c r="C82" s="33"/>
      <c r="D82" s="33"/>
      <c r="E82" s="10"/>
      <c r="F82" s="63" t="n">
        <f aca="false">'Norms &amp; Assumptions'!B33</f>
        <v>150</v>
      </c>
      <c r="G82" s="60"/>
      <c r="H82" s="67" t="n">
        <f aca="false">'Norms &amp; Assumptions'!B35</f>
        <v>0.18</v>
      </c>
      <c r="I82" s="68"/>
      <c r="J82" s="69" t="str">
        <f aca="false">IF(G82="","",G82-F82)</f>
        <v/>
      </c>
      <c r="K82" s="70" t="str">
        <f aca="false">IF(I82="","",I82-H82)</f>
        <v/>
      </c>
      <c r="L82" s="32" t="str">
        <f aca="false">IF(OR(G82="",F82=0),"",G82/F82)</f>
        <v/>
      </c>
      <c r="M82" s="33"/>
    </row>
    <row r="83" customFormat="false" ht="18" hidden="false" customHeight="true" outlineLevel="0" collapsed="false">
      <c r="A83" s="57" t="n">
        <v>79</v>
      </c>
      <c r="B83" s="64"/>
      <c r="C83" s="33"/>
      <c r="D83" s="33"/>
      <c r="E83" s="10"/>
      <c r="F83" s="63" t="n">
        <f aca="false">'Norms &amp; Assumptions'!B33</f>
        <v>150</v>
      </c>
      <c r="G83" s="60"/>
      <c r="H83" s="67" t="n">
        <f aca="false">'Norms &amp; Assumptions'!B35</f>
        <v>0.18</v>
      </c>
      <c r="I83" s="68"/>
      <c r="J83" s="69" t="str">
        <f aca="false">IF(G83="","",G83-F83)</f>
        <v/>
      </c>
      <c r="K83" s="70" t="str">
        <f aca="false">IF(I83="","",I83-H83)</f>
        <v/>
      </c>
      <c r="L83" s="32" t="str">
        <f aca="false">IF(OR(G83="",F83=0),"",G83/F83)</f>
        <v/>
      </c>
      <c r="M83" s="33"/>
    </row>
    <row r="84" customFormat="false" ht="18" hidden="false" customHeight="true" outlineLevel="0" collapsed="false">
      <c r="A84" s="57" t="n">
        <v>80</v>
      </c>
      <c r="B84" s="64"/>
      <c r="C84" s="33"/>
      <c r="D84" s="33"/>
      <c r="E84" s="10"/>
      <c r="F84" s="63" t="n">
        <f aca="false">'Norms &amp; Assumptions'!B33</f>
        <v>150</v>
      </c>
      <c r="G84" s="60"/>
      <c r="H84" s="67" t="n">
        <f aca="false">'Norms &amp; Assumptions'!B35</f>
        <v>0.18</v>
      </c>
      <c r="I84" s="68"/>
      <c r="J84" s="69" t="str">
        <f aca="false">IF(G84="","",G84-F84)</f>
        <v/>
      </c>
      <c r="K84" s="70" t="str">
        <f aca="false">IF(I84="","",I84-H84)</f>
        <v/>
      </c>
      <c r="L84" s="32" t="str">
        <f aca="false">IF(OR(G84="",F84=0),"",G84/F84)</f>
        <v/>
      </c>
      <c r="M84" s="33"/>
    </row>
    <row r="85" customFormat="false" ht="18" hidden="false" customHeight="true" outlineLevel="0" collapsed="false">
      <c r="A85" s="57" t="n">
        <v>81</v>
      </c>
      <c r="B85" s="64"/>
      <c r="C85" s="33"/>
      <c r="D85" s="33"/>
      <c r="E85" s="10"/>
      <c r="F85" s="63" t="n">
        <f aca="false">'Norms &amp; Assumptions'!B33</f>
        <v>150</v>
      </c>
      <c r="G85" s="60"/>
      <c r="H85" s="67" t="n">
        <f aca="false">'Norms &amp; Assumptions'!B35</f>
        <v>0.18</v>
      </c>
      <c r="I85" s="68"/>
      <c r="J85" s="69" t="str">
        <f aca="false">IF(G85="","",G85-F85)</f>
        <v/>
      </c>
      <c r="K85" s="70" t="str">
        <f aca="false">IF(I85="","",I85-H85)</f>
        <v/>
      </c>
      <c r="L85" s="32" t="str">
        <f aca="false">IF(OR(G85="",F85=0),"",G85/F85)</f>
        <v/>
      </c>
      <c r="M85" s="33"/>
    </row>
    <row r="86" customFormat="false" ht="18" hidden="false" customHeight="true" outlineLevel="0" collapsed="false">
      <c r="A86" s="57" t="n">
        <v>82</v>
      </c>
      <c r="B86" s="64"/>
      <c r="C86" s="33"/>
      <c r="D86" s="33"/>
      <c r="E86" s="10"/>
      <c r="F86" s="63" t="n">
        <f aca="false">'Norms &amp; Assumptions'!B33</f>
        <v>150</v>
      </c>
      <c r="G86" s="60"/>
      <c r="H86" s="67" t="n">
        <f aca="false">'Norms &amp; Assumptions'!B35</f>
        <v>0.18</v>
      </c>
      <c r="I86" s="68"/>
      <c r="J86" s="69" t="str">
        <f aca="false">IF(G86="","",G86-F86)</f>
        <v/>
      </c>
      <c r="K86" s="70" t="str">
        <f aca="false">IF(I86="","",I86-H86)</f>
        <v/>
      </c>
      <c r="L86" s="32" t="str">
        <f aca="false">IF(OR(G86="",F86=0),"",G86/F86)</f>
        <v/>
      </c>
      <c r="M86" s="33"/>
    </row>
    <row r="87" customFormat="false" ht="18" hidden="false" customHeight="true" outlineLevel="0" collapsed="false">
      <c r="A87" s="57" t="n">
        <v>83</v>
      </c>
      <c r="B87" s="64"/>
      <c r="C87" s="33"/>
      <c r="D87" s="33"/>
      <c r="E87" s="10"/>
      <c r="F87" s="63" t="n">
        <f aca="false">'Norms &amp; Assumptions'!B33</f>
        <v>150</v>
      </c>
      <c r="G87" s="60"/>
      <c r="H87" s="67" t="n">
        <f aca="false">'Norms &amp; Assumptions'!B35</f>
        <v>0.18</v>
      </c>
      <c r="I87" s="68"/>
      <c r="J87" s="69" t="str">
        <f aca="false">IF(G87="","",G87-F87)</f>
        <v/>
      </c>
      <c r="K87" s="70" t="str">
        <f aca="false">IF(I87="","",I87-H87)</f>
        <v/>
      </c>
      <c r="L87" s="32" t="str">
        <f aca="false">IF(OR(G87="",F87=0),"",G87/F87)</f>
        <v/>
      </c>
      <c r="M87" s="33"/>
    </row>
    <row r="88" customFormat="false" ht="18" hidden="false" customHeight="true" outlineLevel="0" collapsed="false">
      <c r="A88" s="57" t="n">
        <v>84</v>
      </c>
      <c r="B88" s="64"/>
      <c r="C88" s="33"/>
      <c r="D88" s="33"/>
      <c r="E88" s="10"/>
      <c r="F88" s="63" t="n">
        <f aca="false">'Norms &amp; Assumptions'!B33</f>
        <v>150</v>
      </c>
      <c r="G88" s="60"/>
      <c r="H88" s="67" t="n">
        <f aca="false">'Norms &amp; Assumptions'!B35</f>
        <v>0.18</v>
      </c>
      <c r="I88" s="68"/>
      <c r="J88" s="69" t="str">
        <f aca="false">IF(G88="","",G88-F88)</f>
        <v/>
      </c>
      <c r="K88" s="70" t="str">
        <f aca="false">IF(I88="","",I88-H88)</f>
        <v/>
      </c>
      <c r="L88" s="32" t="str">
        <f aca="false">IF(OR(G88="",F88=0),"",G88/F88)</f>
        <v/>
      </c>
      <c r="M88" s="33"/>
    </row>
    <row r="89" customFormat="false" ht="18" hidden="false" customHeight="true" outlineLevel="0" collapsed="false">
      <c r="A89" s="57" t="n">
        <v>85</v>
      </c>
      <c r="B89" s="64"/>
      <c r="C89" s="33"/>
      <c r="D89" s="33"/>
      <c r="E89" s="10"/>
      <c r="F89" s="63" t="n">
        <f aca="false">'Norms &amp; Assumptions'!B33</f>
        <v>150</v>
      </c>
      <c r="G89" s="60"/>
      <c r="H89" s="67" t="n">
        <f aca="false">'Norms &amp; Assumptions'!B35</f>
        <v>0.18</v>
      </c>
      <c r="I89" s="68"/>
      <c r="J89" s="69" t="str">
        <f aca="false">IF(G89="","",G89-F89)</f>
        <v/>
      </c>
      <c r="K89" s="70" t="str">
        <f aca="false">IF(I89="","",I89-H89)</f>
        <v/>
      </c>
      <c r="L89" s="32" t="str">
        <f aca="false">IF(OR(G89="",F89=0),"",G89/F89)</f>
        <v/>
      </c>
      <c r="M89" s="33"/>
    </row>
    <row r="90" customFormat="false" ht="18" hidden="false" customHeight="true" outlineLevel="0" collapsed="false">
      <c r="A90" s="57" t="n">
        <v>86</v>
      </c>
      <c r="B90" s="64"/>
      <c r="C90" s="33"/>
      <c r="D90" s="33"/>
      <c r="E90" s="10"/>
      <c r="F90" s="63" t="n">
        <f aca="false">'Norms &amp; Assumptions'!B33</f>
        <v>150</v>
      </c>
      <c r="G90" s="60"/>
      <c r="H90" s="67" t="n">
        <f aca="false">'Norms &amp; Assumptions'!B35</f>
        <v>0.18</v>
      </c>
      <c r="I90" s="68"/>
      <c r="J90" s="69" t="str">
        <f aca="false">IF(G90="","",G90-F90)</f>
        <v/>
      </c>
      <c r="K90" s="70" t="str">
        <f aca="false">IF(I90="","",I90-H90)</f>
        <v/>
      </c>
      <c r="L90" s="32" t="str">
        <f aca="false">IF(OR(G90="",F90=0),"",G90/F90)</f>
        <v/>
      </c>
      <c r="M90" s="33"/>
    </row>
    <row r="91" customFormat="false" ht="18" hidden="false" customHeight="true" outlineLevel="0" collapsed="false">
      <c r="A91" s="57" t="n">
        <v>87</v>
      </c>
      <c r="B91" s="64"/>
      <c r="C91" s="33"/>
      <c r="D91" s="33"/>
      <c r="E91" s="10"/>
      <c r="F91" s="63" t="n">
        <f aca="false">'Norms &amp; Assumptions'!B33</f>
        <v>150</v>
      </c>
      <c r="G91" s="60"/>
      <c r="H91" s="67" t="n">
        <f aca="false">'Norms &amp; Assumptions'!B35</f>
        <v>0.18</v>
      </c>
      <c r="I91" s="68"/>
      <c r="J91" s="69" t="str">
        <f aca="false">IF(G91="","",G91-F91)</f>
        <v/>
      </c>
      <c r="K91" s="70" t="str">
        <f aca="false">IF(I91="","",I91-H91)</f>
        <v/>
      </c>
      <c r="L91" s="32" t="str">
        <f aca="false">IF(OR(G91="",F91=0),"",G91/F91)</f>
        <v/>
      </c>
      <c r="M91" s="33"/>
    </row>
    <row r="92" customFormat="false" ht="18" hidden="false" customHeight="true" outlineLevel="0" collapsed="false">
      <c r="A92" s="57" t="n">
        <v>88</v>
      </c>
      <c r="B92" s="64"/>
      <c r="C92" s="33"/>
      <c r="D92" s="33"/>
      <c r="E92" s="10"/>
      <c r="F92" s="63" t="n">
        <f aca="false">'Norms &amp; Assumptions'!B33</f>
        <v>150</v>
      </c>
      <c r="G92" s="60"/>
      <c r="H92" s="67" t="n">
        <f aca="false">'Norms &amp; Assumptions'!B35</f>
        <v>0.18</v>
      </c>
      <c r="I92" s="68"/>
      <c r="J92" s="69" t="str">
        <f aca="false">IF(G92="","",G92-F92)</f>
        <v/>
      </c>
      <c r="K92" s="70" t="str">
        <f aca="false">IF(I92="","",I92-H92)</f>
        <v/>
      </c>
      <c r="L92" s="32" t="str">
        <f aca="false">IF(OR(G92="",F92=0),"",G92/F92)</f>
        <v/>
      </c>
      <c r="M92" s="33"/>
    </row>
    <row r="93" customFormat="false" ht="18" hidden="false" customHeight="true" outlineLevel="0" collapsed="false">
      <c r="A93" s="57" t="n">
        <v>89</v>
      </c>
      <c r="B93" s="64"/>
      <c r="C93" s="33"/>
      <c r="D93" s="33"/>
      <c r="E93" s="10"/>
      <c r="F93" s="63" t="n">
        <f aca="false">'Norms &amp; Assumptions'!B33</f>
        <v>150</v>
      </c>
      <c r="G93" s="60"/>
      <c r="H93" s="67" t="n">
        <f aca="false">'Norms &amp; Assumptions'!B35</f>
        <v>0.18</v>
      </c>
      <c r="I93" s="68"/>
      <c r="J93" s="69" t="str">
        <f aca="false">IF(G93="","",G93-F93)</f>
        <v/>
      </c>
      <c r="K93" s="70" t="str">
        <f aca="false">IF(I93="","",I93-H93)</f>
        <v/>
      </c>
      <c r="L93" s="32" t="str">
        <f aca="false">IF(OR(G93="",F93=0),"",G93/F93)</f>
        <v/>
      </c>
      <c r="M93" s="33"/>
    </row>
    <row r="94" customFormat="false" ht="18" hidden="false" customHeight="true" outlineLevel="0" collapsed="false">
      <c r="A94" s="57" t="n">
        <v>90</v>
      </c>
      <c r="B94" s="64"/>
      <c r="C94" s="33"/>
      <c r="D94" s="33"/>
      <c r="E94" s="10"/>
      <c r="F94" s="63" t="n">
        <f aca="false">'Norms &amp; Assumptions'!B33</f>
        <v>150</v>
      </c>
      <c r="G94" s="60"/>
      <c r="H94" s="67" t="n">
        <f aca="false">'Norms &amp; Assumptions'!B35</f>
        <v>0.18</v>
      </c>
      <c r="I94" s="68"/>
      <c r="J94" s="69" t="str">
        <f aca="false">IF(G94="","",G94-F94)</f>
        <v/>
      </c>
      <c r="K94" s="70" t="str">
        <f aca="false">IF(I94="","",I94-H94)</f>
        <v/>
      </c>
      <c r="L94" s="32" t="str">
        <f aca="false">IF(OR(G94="",F94=0),"",G94/F94)</f>
        <v/>
      </c>
      <c r="M94" s="33"/>
    </row>
    <row r="95" customFormat="false" ht="18" hidden="false" customHeight="true" outlineLevel="0" collapsed="false">
      <c r="A95" s="57" t="n">
        <v>91</v>
      </c>
      <c r="B95" s="64"/>
      <c r="C95" s="33"/>
      <c r="D95" s="33"/>
      <c r="E95" s="10"/>
      <c r="F95" s="63" t="n">
        <f aca="false">'Norms &amp; Assumptions'!B33</f>
        <v>150</v>
      </c>
      <c r="G95" s="60"/>
      <c r="H95" s="67" t="n">
        <f aca="false">'Norms &amp; Assumptions'!B35</f>
        <v>0.18</v>
      </c>
      <c r="I95" s="68"/>
      <c r="J95" s="69" t="str">
        <f aca="false">IF(G95="","",G95-F95)</f>
        <v/>
      </c>
      <c r="K95" s="70" t="str">
        <f aca="false">IF(I95="","",I95-H95)</f>
        <v/>
      </c>
      <c r="L95" s="32" t="str">
        <f aca="false">IF(OR(G95="",F95=0),"",G95/F95)</f>
        <v/>
      </c>
      <c r="M95" s="33"/>
    </row>
    <row r="96" customFormat="false" ht="18" hidden="false" customHeight="true" outlineLevel="0" collapsed="false">
      <c r="A96" s="57" t="n">
        <v>92</v>
      </c>
      <c r="B96" s="64"/>
      <c r="C96" s="33"/>
      <c r="D96" s="33"/>
      <c r="E96" s="10"/>
      <c r="F96" s="63" t="n">
        <f aca="false">'Norms &amp; Assumptions'!B33</f>
        <v>150</v>
      </c>
      <c r="G96" s="60"/>
      <c r="H96" s="67" t="n">
        <f aca="false">'Norms &amp; Assumptions'!B35</f>
        <v>0.18</v>
      </c>
      <c r="I96" s="68"/>
      <c r="J96" s="69" t="str">
        <f aca="false">IF(G96="","",G96-F96)</f>
        <v/>
      </c>
      <c r="K96" s="70" t="str">
        <f aca="false">IF(I96="","",I96-H96)</f>
        <v/>
      </c>
      <c r="L96" s="32" t="str">
        <f aca="false">IF(OR(G96="",F96=0),"",G96/F96)</f>
        <v/>
      </c>
      <c r="M96" s="33"/>
    </row>
    <row r="97" customFormat="false" ht="18" hidden="false" customHeight="true" outlineLevel="0" collapsed="false">
      <c r="A97" s="57" t="n">
        <v>93</v>
      </c>
      <c r="B97" s="64"/>
      <c r="C97" s="33"/>
      <c r="D97" s="33"/>
      <c r="E97" s="10"/>
      <c r="F97" s="63" t="n">
        <f aca="false">'Norms &amp; Assumptions'!B33</f>
        <v>150</v>
      </c>
      <c r="G97" s="60"/>
      <c r="H97" s="67" t="n">
        <f aca="false">'Norms &amp; Assumptions'!B35</f>
        <v>0.18</v>
      </c>
      <c r="I97" s="68"/>
      <c r="J97" s="69" t="str">
        <f aca="false">IF(G97="","",G97-F97)</f>
        <v/>
      </c>
      <c r="K97" s="70" t="str">
        <f aca="false">IF(I97="","",I97-H97)</f>
        <v/>
      </c>
      <c r="L97" s="32" t="str">
        <f aca="false">IF(OR(G97="",F97=0),"",G97/F97)</f>
        <v/>
      </c>
      <c r="M97" s="33"/>
    </row>
    <row r="98" customFormat="false" ht="18" hidden="false" customHeight="true" outlineLevel="0" collapsed="false">
      <c r="A98" s="57" t="n">
        <v>94</v>
      </c>
      <c r="B98" s="64"/>
      <c r="C98" s="33"/>
      <c r="D98" s="33"/>
      <c r="E98" s="10"/>
      <c r="F98" s="63" t="n">
        <f aca="false">'Norms &amp; Assumptions'!B33</f>
        <v>150</v>
      </c>
      <c r="G98" s="60"/>
      <c r="H98" s="67" t="n">
        <f aca="false">'Norms &amp; Assumptions'!B35</f>
        <v>0.18</v>
      </c>
      <c r="I98" s="68"/>
      <c r="J98" s="69" t="str">
        <f aca="false">IF(G98="","",G98-F98)</f>
        <v/>
      </c>
      <c r="K98" s="70" t="str">
        <f aca="false">IF(I98="","",I98-H98)</f>
        <v/>
      </c>
      <c r="L98" s="32" t="str">
        <f aca="false">IF(OR(G98="",F98=0),"",G98/F98)</f>
        <v/>
      </c>
      <c r="M98" s="33"/>
    </row>
    <row r="99" customFormat="false" ht="18" hidden="false" customHeight="true" outlineLevel="0" collapsed="false">
      <c r="A99" s="57" t="n">
        <v>95</v>
      </c>
      <c r="B99" s="64"/>
      <c r="C99" s="33"/>
      <c r="D99" s="33"/>
      <c r="E99" s="10"/>
      <c r="F99" s="63" t="n">
        <f aca="false">'Norms &amp; Assumptions'!B33</f>
        <v>150</v>
      </c>
      <c r="G99" s="60"/>
      <c r="H99" s="67" t="n">
        <f aca="false">'Norms &amp; Assumptions'!B35</f>
        <v>0.18</v>
      </c>
      <c r="I99" s="68"/>
      <c r="J99" s="69" t="str">
        <f aca="false">IF(G99="","",G99-F99)</f>
        <v/>
      </c>
      <c r="K99" s="70" t="str">
        <f aca="false">IF(I99="","",I99-H99)</f>
        <v/>
      </c>
      <c r="L99" s="32" t="str">
        <f aca="false">IF(OR(G99="",F99=0),"",G99/F99)</f>
        <v/>
      </c>
      <c r="M99" s="33"/>
    </row>
    <row r="100" customFormat="false" ht="18" hidden="false" customHeight="true" outlineLevel="0" collapsed="false">
      <c r="A100" s="57" t="n">
        <v>96</v>
      </c>
      <c r="B100" s="64"/>
      <c r="C100" s="33"/>
      <c r="D100" s="33"/>
      <c r="E100" s="10"/>
      <c r="F100" s="63" t="n">
        <f aca="false">'Norms &amp; Assumptions'!B33</f>
        <v>150</v>
      </c>
      <c r="G100" s="60"/>
      <c r="H100" s="67" t="n">
        <f aca="false">'Norms &amp; Assumptions'!B35</f>
        <v>0.18</v>
      </c>
      <c r="I100" s="68"/>
      <c r="J100" s="69" t="str">
        <f aca="false">IF(G100="","",G100-F100)</f>
        <v/>
      </c>
      <c r="K100" s="70" t="str">
        <f aca="false">IF(I100="","",I100-H100)</f>
        <v/>
      </c>
      <c r="L100" s="32" t="str">
        <f aca="false">IF(OR(G100="",F100=0),"",G100/F100)</f>
        <v/>
      </c>
      <c r="M100" s="33"/>
    </row>
    <row r="101" customFormat="false" ht="18" hidden="false" customHeight="true" outlineLevel="0" collapsed="false">
      <c r="A101" s="57" t="n">
        <v>97</v>
      </c>
      <c r="B101" s="64"/>
      <c r="C101" s="33"/>
      <c r="D101" s="33"/>
      <c r="E101" s="10"/>
      <c r="F101" s="63" t="n">
        <f aca="false">'Norms &amp; Assumptions'!B33</f>
        <v>150</v>
      </c>
      <c r="G101" s="60"/>
      <c r="H101" s="67" t="n">
        <f aca="false">'Norms &amp; Assumptions'!B35</f>
        <v>0.18</v>
      </c>
      <c r="I101" s="68"/>
      <c r="J101" s="69" t="str">
        <f aca="false">IF(G101="","",G101-F101)</f>
        <v/>
      </c>
      <c r="K101" s="70" t="str">
        <f aca="false">IF(I101="","",I101-H101)</f>
        <v/>
      </c>
      <c r="L101" s="32" t="str">
        <f aca="false">IF(OR(G101="",F101=0),"",G101/F101)</f>
        <v/>
      </c>
      <c r="M101" s="33"/>
    </row>
    <row r="102" customFormat="false" ht="18" hidden="false" customHeight="true" outlineLevel="0" collapsed="false">
      <c r="A102" s="57" t="n">
        <v>98</v>
      </c>
      <c r="B102" s="64"/>
      <c r="C102" s="33"/>
      <c r="D102" s="33"/>
      <c r="E102" s="10"/>
      <c r="F102" s="63" t="n">
        <f aca="false">'Norms &amp; Assumptions'!B33</f>
        <v>150</v>
      </c>
      <c r="G102" s="60"/>
      <c r="H102" s="67" t="n">
        <f aca="false">'Norms &amp; Assumptions'!B35</f>
        <v>0.18</v>
      </c>
      <c r="I102" s="68"/>
      <c r="J102" s="69" t="str">
        <f aca="false">IF(G102="","",G102-F102)</f>
        <v/>
      </c>
      <c r="K102" s="70" t="str">
        <f aca="false">IF(I102="","",I102-H102)</f>
        <v/>
      </c>
      <c r="L102" s="32" t="str">
        <f aca="false">IF(OR(G102="",F102=0),"",G102/F102)</f>
        <v/>
      </c>
      <c r="M102" s="33"/>
    </row>
    <row r="103" customFormat="false" ht="18" hidden="false" customHeight="true" outlineLevel="0" collapsed="false">
      <c r="A103" s="57" t="n">
        <v>99</v>
      </c>
      <c r="B103" s="64"/>
      <c r="C103" s="33"/>
      <c r="D103" s="33"/>
      <c r="E103" s="10"/>
      <c r="F103" s="63" t="n">
        <f aca="false">'Norms &amp; Assumptions'!B33</f>
        <v>150</v>
      </c>
      <c r="G103" s="60"/>
      <c r="H103" s="67" t="n">
        <f aca="false">'Norms &amp; Assumptions'!B35</f>
        <v>0.18</v>
      </c>
      <c r="I103" s="68"/>
      <c r="J103" s="69" t="str">
        <f aca="false">IF(G103="","",G103-F103)</f>
        <v/>
      </c>
      <c r="K103" s="70" t="str">
        <f aca="false">IF(I103="","",I103-H103)</f>
        <v/>
      </c>
      <c r="L103" s="32" t="str">
        <f aca="false">IF(OR(G103="",F103=0),"",G103/F103)</f>
        <v/>
      </c>
      <c r="M103" s="33"/>
    </row>
    <row r="104" customFormat="false" ht="18" hidden="false" customHeight="true" outlineLevel="0" collapsed="false">
      <c r="A104" s="57" t="n">
        <v>100</v>
      </c>
      <c r="B104" s="64"/>
      <c r="C104" s="33"/>
      <c r="D104" s="33"/>
      <c r="E104" s="10"/>
      <c r="F104" s="63" t="n">
        <f aca="false">'Norms &amp; Assumptions'!B33</f>
        <v>150</v>
      </c>
      <c r="G104" s="60"/>
      <c r="H104" s="67" t="n">
        <f aca="false">'Norms &amp; Assumptions'!B35</f>
        <v>0.18</v>
      </c>
      <c r="I104" s="68"/>
      <c r="J104" s="69" t="str">
        <f aca="false">IF(G104="","",G104-F104)</f>
        <v/>
      </c>
      <c r="K104" s="70" t="str">
        <f aca="false">IF(I104="","",I104-H104)</f>
        <v/>
      </c>
      <c r="L104" s="32" t="str">
        <f aca="false">IF(OR(G104="",F104=0),"",G104/F104)</f>
        <v/>
      </c>
      <c r="M104" s="33"/>
    </row>
    <row r="105" customFormat="false" ht="18" hidden="false" customHeight="true" outlineLevel="0" collapsed="false">
      <c r="A105" s="57" t="n">
        <v>101</v>
      </c>
      <c r="B105" s="64"/>
      <c r="C105" s="33"/>
      <c r="D105" s="33"/>
      <c r="E105" s="10"/>
      <c r="F105" s="63" t="n">
        <f aca="false">'Norms &amp; Assumptions'!B33</f>
        <v>150</v>
      </c>
      <c r="G105" s="60"/>
      <c r="H105" s="67" t="n">
        <f aca="false">'Norms &amp; Assumptions'!B35</f>
        <v>0.18</v>
      </c>
      <c r="I105" s="68"/>
      <c r="J105" s="69" t="str">
        <f aca="false">IF(G105="","",G105-F105)</f>
        <v/>
      </c>
      <c r="K105" s="70" t="str">
        <f aca="false">IF(I105="","",I105-H105)</f>
        <v/>
      </c>
      <c r="L105" s="32" t="str">
        <f aca="false">IF(OR(G105="",F105=0),"",G105/F105)</f>
        <v/>
      </c>
      <c r="M105" s="33"/>
    </row>
    <row r="106" customFormat="false" ht="18" hidden="false" customHeight="true" outlineLevel="0" collapsed="false">
      <c r="A106" s="57" t="n">
        <v>102</v>
      </c>
      <c r="B106" s="64"/>
      <c r="C106" s="33"/>
      <c r="D106" s="33"/>
      <c r="E106" s="10"/>
      <c r="F106" s="63" t="n">
        <f aca="false">'Norms &amp; Assumptions'!B33</f>
        <v>150</v>
      </c>
      <c r="G106" s="60"/>
      <c r="H106" s="67" t="n">
        <f aca="false">'Norms &amp; Assumptions'!B35</f>
        <v>0.18</v>
      </c>
      <c r="I106" s="68"/>
      <c r="J106" s="69" t="str">
        <f aca="false">IF(G106="","",G106-F106)</f>
        <v/>
      </c>
      <c r="K106" s="70" t="str">
        <f aca="false">IF(I106="","",I106-H106)</f>
        <v/>
      </c>
      <c r="L106" s="32" t="str">
        <f aca="false">IF(OR(G106="",F106=0),"",G106/F106)</f>
        <v/>
      </c>
      <c r="M106" s="33"/>
    </row>
    <row r="107" customFormat="false" ht="18" hidden="false" customHeight="true" outlineLevel="0" collapsed="false">
      <c r="A107" s="57" t="n">
        <v>103</v>
      </c>
      <c r="B107" s="64"/>
      <c r="C107" s="33"/>
      <c r="D107" s="33"/>
      <c r="E107" s="10"/>
      <c r="F107" s="63" t="n">
        <f aca="false">'Norms &amp; Assumptions'!B33</f>
        <v>150</v>
      </c>
      <c r="G107" s="60"/>
      <c r="H107" s="67" t="n">
        <f aca="false">'Norms &amp; Assumptions'!B35</f>
        <v>0.18</v>
      </c>
      <c r="I107" s="68"/>
      <c r="J107" s="69" t="str">
        <f aca="false">IF(G107="","",G107-F107)</f>
        <v/>
      </c>
      <c r="K107" s="70" t="str">
        <f aca="false">IF(I107="","",I107-H107)</f>
        <v/>
      </c>
      <c r="L107" s="32" t="str">
        <f aca="false">IF(OR(G107="",F107=0),"",G107/F107)</f>
        <v/>
      </c>
      <c r="M107" s="33"/>
    </row>
    <row r="108" customFormat="false" ht="18" hidden="false" customHeight="true" outlineLevel="0" collapsed="false">
      <c r="A108" s="57" t="n">
        <v>104</v>
      </c>
      <c r="B108" s="64"/>
      <c r="C108" s="33"/>
      <c r="D108" s="33"/>
      <c r="E108" s="10"/>
      <c r="F108" s="63" t="n">
        <f aca="false">'Norms &amp; Assumptions'!B33</f>
        <v>150</v>
      </c>
      <c r="G108" s="60"/>
      <c r="H108" s="67" t="n">
        <f aca="false">'Norms &amp; Assumptions'!B35</f>
        <v>0.18</v>
      </c>
      <c r="I108" s="68"/>
      <c r="J108" s="69" t="str">
        <f aca="false">IF(G108="","",G108-F108)</f>
        <v/>
      </c>
      <c r="K108" s="70" t="str">
        <f aca="false">IF(I108="","",I108-H108)</f>
        <v/>
      </c>
      <c r="L108" s="32" t="str">
        <f aca="false">IF(OR(G108="",F108=0),"",G108/F108)</f>
        <v/>
      </c>
      <c r="M108" s="33"/>
    </row>
    <row r="109" customFormat="false" ht="18" hidden="false" customHeight="true" outlineLevel="0" collapsed="false">
      <c r="A109" s="57" t="n">
        <v>105</v>
      </c>
      <c r="B109" s="64"/>
      <c r="C109" s="33"/>
      <c r="D109" s="33"/>
      <c r="E109" s="10"/>
      <c r="F109" s="63" t="n">
        <f aca="false">'Norms &amp; Assumptions'!B33</f>
        <v>150</v>
      </c>
      <c r="G109" s="60"/>
      <c r="H109" s="67" t="n">
        <f aca="false">'Norms &amp; Assumptions'!B35</f>
        <v>0.18</v>
      </c>
      <c r="I109" s="68"/>
      <c r="J109" s="69" t="str">
        <f aca="false">IF(G109="","",G109-F109)</f>
        <v/>
      </c>
      <c r="K109" s="70" t="str">
        <f aca="false">IF(I109="","",I109-H109)</f>
        <v/>
      </c>
      <c r="L109" s="32" t="str">
        <f aca="false">IF(OR(G109="",F109=0),"",G109/F109)</f>
        <v/>
      </c>
      <c r="M109" s="33"/>
    </row>
    <row r="110" customFormat="false" ht="18" hidden="false" customHeight="true" outlineLevel="0" collapsed="false">
      <c r="A110" s="57" t="n">
        <v>106</v>
      </c>
      <c r="B110" s="64"/>
      <c r="C110" s="33"/>
      <c r="D110" s="33"/>
      <c r="E110" s="10"/>
      <c r="F110" s="63" t="n">
        <f aca="false">'Norms &amp; Assumptions'!B33</f>
        <v>150</v>
      </c>
      <c r="G110" s="60"/>
      <c r="H110" s="67" t="n">
        <f aca="false">'Norms &amp; Assumptions'!B35</f>
        <v>0.18</v>
      </c>
      <c r="I110" s="68"/>
      <c r="J110" s="69" t="str">
        <f aca="false">IF(G110="","",G110-F110)</f>
        <v/>
      </c>
      <c r="K110" s="70" t="str">
        <f aca="false">IF(I110="","",I110-H110)</f>
        <v/>
      </c>
      <c r="L110" s="32" t="str">
        <f aca="false">IF(OR(G110="",F110=0),"",G110/F110)</f>
        <v/>
      </c>
      <c r="M110" s="33"/>
    </row>
    <row r="111" customFormat="false" ht="18" hidden="false" customHeight="true" outlineLevel="0" collapsed="false">
      <c r="A111" s="57" t="n">
        <v>107</v>
      </c>
      <c r="B111" s="64"/>
      <c r="C111" s="33"/>
      <c r="D111" s="33"/>
      <c r="E111" s="10"/>
      <c r="F111" s="63" t="n">
        <f aca="false">'Norms &amp; Assumptions'!B33</f>
        <v>150</v>
      </c>
      <c r="G111" s="60"/>
      <c r="H111" s="67" t="n">
        <f aca="false">'Norms &amp; Assumptions'!B35</f>
        <v>0.18</v>
      </c>
      <c r="I111" s="68"/>
      <c r="J111" s="69" t="str">
        <f aca="false">IF(G111="","",G111-F111)</f>
        <v/>
      </c>
      <c r="K111" s="70" t="str">
        <f aca="false">IF(I111="","",I111-H111)</f>
        <v/>
      </c>
      <c r="L111" s="32" t="str">
        <f aca="false">IF(OR(G111="",F111=0),"",G111/F111)</f>
        <v/>
      </c>
      <c r="M111" s="33"/>
    </row>
    <row r="112" customFormat="false" ht="18" hidden="false" customHeight="true" outlineLevel="0" collapsed="false">
      <c r="A112" s="57" t="n">
        <v>108</v>
      </c>
      <c r="B112" s="64"/>
      <c r="C112" s="33"/>
      <c r="D112" s="33"/>
      <c r="E112" s="10"/>
      <c r="F112" s="63" t="n">
        <f aca="false">'Norms &amp; Assumptions'!B33</f>
        <v>150</v>
      </c>
      <c r="G112" s="60"/>
      <c r="H112" s="67" t="n">
        <f aca="false">'Norms &amp; Assumptions'!B35</f>
        <v>0.18</v>
      </c>
      <c r="I112" s="68"/>
      <c r="J112" s="69" t="str">
        <f aca="false">IF(G112="","",G112-F112)</f>
        <v/>
      </c>
      <c r="K112" s="70" t="str">
        <f aca="false">IF(I112="","",I112-H112)</f>
        <v/>
      </c>
      <c r="L112" s="32" t="str">
        <f aca="false">IF(OR(G112="",F112=0),"",G112/F112)</f>
        <v/>
      </c>
      <c r="M112" s="33"/>
    </row>
    <row r="113" customFormat="false" ht="18" hidden="false" customHeight="true" outlineLevel="0" collapsed="false">
      <c r="A113" s="57" t="n">
        <v>109</v>
      </c>
      <c r="B113" s="64"/>
      <c r="C113" s="33"/>
      <c r="D113" s="33"/>
      <c r="E113" s="10"/>
      <c r="F113" s="63" t="n">
        <f aca="false">'Norms &amp; Assumptions'!B33</f>
        <v>150</v>
      </c>
      <c r="G113" s="60"/>
      <c r="H113" s="67" t="n">
        <f aca="false">'Norms &amp; Assumptions'!B35</f>
        <v>0.18</v>
      </c>
      <c r="I113" s="68"/>
      <c r="J113" s="69" t="str">
        <f aca="false">IF(G113="","",G113-F113)</f>
        <v/>
      </c>
      <c r="K113" s="70" t="str">
        <f aca="false">IF(I113="","",I113-H113)</f>
        <v/>
      </c>
      <c r="L113" s="32" t="str">
        <f aca="false">IF(OR(G113="",F113=0),"",G113/F113)</f>
        <v/>
      </c>
      <c r="M113" s="33"/>
    </row>
    <row r="114" customFormat="false" ht="18" hidden="false" customHeight="true" outlineLevel="0" collapsed="false">
      <c r="A114" s="57" t="n">
        <v>110</v>
      </c>
      <c r="B114" s="64"/>
      <c r="C114" s="33"/>
      <c r="D114" s="33"/>
      <c r="E114" s="10"/>
      <c r="F114" s="63" t="n">
        <f aca="false">'Norms &amp; Assumptions'!B33</f>
        <v>150</v>
      </c>
      <c r="G114" s="60"/>
      <c r="H114" s="67" t="n">
        <f aca="false">'Norms &amp; Assumptions'!B35</f>
        <v>0.18</v>
      </c>
      <c r="I114" s="68"/>
      <c r="J114" s="69" t="str">
        <f aca="false">IF(G114="","",G114-F114)</f>
        <v/>
      </c>
      <c r="K114" s="70" t="str">
        <f aca="false">IF(I114="","",I114-H114)</f>
        <v/>
      </c>
      <c r="L114" s="32" t="str">
        <f aca="false">IF(OR(G114="",F114=0),"",G114/F114)</f>
        <v/>
      </c>
      <c r="M114" s="33"/>
    </row>
    <row r="115" customFormat="false" ht="18" hidden="false" customHeight="true" outlineLevel="0" collapsed="false">
      <c r="A115" s="57" t="n">
        <v>111</v>
      </c>
      <c r="B115" s="64"/>
      <c r="C115" s="33"/>
      <c r="D115" s="33"/>
      <c r="E115" s="10"/>
      <c r="F115" s="63" t="n">
        <f aca="false">'Norms &amp; Assumptions'!B33</f>
        <v>150</v>
      </c>
      <c r="G115" s="60"/>
      <c r="H115" s="67" t="n">
        <f aca="false">'Norms &amp; Assumptions'!B35</f>
        <v>0.18</v>
      </c>
      <c r="I115" s="68"/>
      <c r="J115" s="69" t="str">
        <f aca="false">IF(G115="","",G115-F115)</f>
        <v/>
      </c>
      <c r="K115" s="70" t="str">
        <f aca="false">IF(I115="","",I115-H115)</f>
        <v/>
      </c>
      <c r="L115" s="32" t="str">
        <f aca="false">IF(OR(G115="",F115=0),"",G115/F115)</f>
        <v/>
      </c>
      <c r="M115" s="33"/>
    </row>
    <row r="116" customFormat="false" ht="18" hidden="false" customHeight="true" outlineLevel="0" collapsed="false">
      <c r="A116" s="57" t="n">
        <v>112</v>
      </c>
      <c r="B116" s="64"/>
      <c r="C116" s="33"/>
      <c r="D116" s="33"/>
      <c r="E116" s="10"/>
      <c r="F116" s="63" t="n">
        <f aca="false">'Norms &amp; Assumptions'!B33</f>
        <v>150</v>
      </c>
      <c r="G116" s="60"/>
      <c r="H116" s="67" t="n">
        <f aca="false">'Norms &amp; Assumptions'!B35</f>
        <v>0.18</v>
      </c>
      <c r="I116" s="68"/>
      <c r="J116" s="69" t="str">
        <f aca="false">IF(G116="","",G116-F116)</f>
        <v/>
      </c>
      <c r="K116" s="70" t="str">
        <f aca="false">IF(I116="","",I116-H116)</f>
        <v/>
      </c>
      <c r="L116" s="32" t="str">
        <f aca="false">IF(OR(G116="",F116=0),"",G116/F116)</f>
        <v/>
      </c>
      <c r="M116" s="33"/>
    </row>
    <row r="117" customFormat="false" ht="18" hidden="false" customHeight="true" outlineLevel="0" collapsed="false">
      <c r="A117" s="57" t="n">
        <v>113</v>
      </c>
      <c r="B117" s="64"/>
      <c r="C117" s="33"/>
      <c r="D117" s="33"/>
      <c r="E117" s="10"/>
      <c r="F117" s="63" t="n">
        <f aca="false">'Norms &amp; Assumptions'!B33</f>
        <v>150</v>
      </c>
      <c r="G117" s="60"/>
      <c r="H117" s="67" t="n">
        <f aca="false">'Norms &amp; Assumptions'!B35</f>
        <v>0.18</v>
      </c>
      <c r="I117" s="68"/>
      <c r="J117" s="69" t="str">
        <f aca="false">IF(G117="","",G117-F117)</f>
        <v/>
      </c>
      <c r="K117" s="70" t="str">
        <f aca="false">IF(I117="","",I117-H117)</f>
        <v/>
      </c>
      <c r="L117" s="32" t="str">
        <f aca="false">IF(OR(G117="",F117=0),"",G117/F117)</f>
        <v/>
      </c>
      <c r="M117" s="33"/>
    </row>
    <row r="118" customFormat="false" ht="18" hidden="false" customHeight="true" outlineLevel="0" collapsed="false">
      <c r="A118" s="57" t="n">
        <v>114</v>
      </c>
      <c r="B118" s="64"/>
      <c r="C118" s="33"/>
      <c r="D118" s="33"/>
      <c r="E118" s="10"/>
      <c r="F118" s="63" t="n">
        <f aca="false">'Norms &amp; Assumptions'!B33</f>
        <v>150</v>
      </c>
      <c r="G118" s="60"/>
      <c r="H118" s="67" t="n">
        <f aca="false">'Norms &amp; Assumptions'!B35</f>
        <v>0.18</v>
      </c>
      <c r="I118" s="68"/>
      <c r="J118" s="69" t="str">
        <f aca="false">IF(G118="","",G118-F118)</f>
        <v/>
      </c>
      <c r="K118" s="70" t="str">
        <f aca="false">IF(I118="","",I118-H118)</f>
        <v/>
      </c>
      <c r="L118" s="32" t="str">
        <f aca="false">IF(OR(G118="",F118=0),"",G118/F118)</f>
        <v/>
      </c>
      <c r="M118" s="33"/>
    </row>
    <row r="119" customFormat="false" ht="18" hidden="false" customHeight="true" outlineLevel="0" collapsed="false">
      <c r="A119" s="57" t="n">
        <v>115</v>
      </c>
      <c r="B119" s="64"/>
      <c r="C119" s="33"/>
      <c r="D119" s="33"/>
      <c r="E119" s="10"/>
      <c r="F119" s="63" t="n">
        <f aca="false">'Norms &amp; Assumptions'!B33</f>
        <v>150</v>
      </c>
      <c r="G119" s="60"/>
      <c r="H119" s="67" t="n">
        <f aca="false">'Norms &amp; Assumptions'!B35</f>
        <v>0.18</v>
      </c>
      <c r="I119" s="68"/>
      <c r="J119" s="69" t="str">
        <f aca="false">IF(G119="","",G119-F119)</f>
        <v/>
      </c>
      <c r="K119" s="70" t="str">
        <f aca="false">IF(I119="","",I119-H119)</f>
        <v/>
      </c>
      <c r="L119" s="32" t="str">
        <f aca="false">IF(OR(G119="",F119=0),"",G119/F119)</f>
        <v/>
      </c>
      <c r="M119" s="33"/>
    </row>
    <row r="120" customFormat="false" ht="18" hidden="false" customHeight="true" outlineLevel="0" collapsed="false">
      <c r="A120" s="57" t="n">
        <v>116</v>
      </c>
      <c r="B120" s="64"/>
      <c r="C120" s="33"/>
      <c r="D120" s="33"/>
      <c r="E120" s="10"/>
      <c r="F120" s="63" t="n">
        <f aca="false">'Norms &amp; Assumptions'!B33</f>
        <v>150</v>
      </c>
      <c r="G120" s="60"/>
      <c r="H120" s="67" t="n">
        <f aca="false">'Norms &amp; Assumptions'!B35</f>
        <v>0.18</v>
      </c>
      <c r="I120" s="68"/>
      <c r="J120" s="69" t="str">
        <f aca="false">IF(G120="","",G120-F120)</f>
        <v/>
      </c>
      <c r="K120" s="70" t="str">
        <f aca="false">IF(I120="","",I120-H120)</f>
        <v/>
      </c>
      <c r="L120" s="32" t="str">
        <f aca="false">IF(OR(G120="",F120=0),"",G120/F120)</f>
        <v/>
      </c>
      <c r="M120" s="33"/>
    </row>
    <row r="121" customFormat="false" ht="18" hidden="false" customHeight="true" outlineLevel="0" collapsed="false">
      <c r="A121" s="57" t="n">
        <v>117</v>
      </c>
      <c r="B121" s="64"/>
      <c r="C121" s="33"/>
      <c r="D121" s="33"/>
      <c r="E121" s="10"/>
      <c r="F121" s="63" t="n">
        <f aca="false">'Norms &amp; Assumptions'!B33</f>
        <v>150</v>
      </c>
      <c r="G121" s="60"/>
      <c r="H121" s="67" t="n">
        <f aca="false">'Norms &amp; Assumptions'!B35</f>
        <v>0.18</v>
      </c>
      <c r="I121" s="68"/>
      <c r="J121" s="69" t="str">
        <f aca="false">IF(G121="","",G121-F121)</f>
        <v/>
      </c>
      <c r="K121" s="70" t="str">
        <f aca="false">IF(I121="","",I121-H121)</f>
        <v/>
      </c>
      <c r="L121" s="32" t="str">
        <f aca="false">IF(OR(G121="",F121=0),"",G121/F121)</f>
        <v/>
      </c>
      <c r="M121" s="33"/>
    </row>
    <row r="122" customFormat="false" ht="18" hidden="false" customHeight="true" outlineLevel="0" collapsed="false">
      <c r="A122" s="57" t="n">
        <v>118</v>
      </c>
      <c r="B122" s="64"/>
      <c r="C122" s="33"/>
      <c r="D122" s="33"/>
      <c r="E122" s="10"/>
      <c r="F122" s="63" t="n">
        <f aca="false">'Norms &amp; Assumptions'!B33</f>
        <v>150</v>
      </c>
      <c r="G122" s="60"/>
      <c r="H122" s="67" t="n">
        <f aca="false">'Norms &amp; Assumptions'!B35</f>
        <v>0.18</v>
      </c>
      <c r="I122" s="68"/>
      <c r="J122" s="69" t="str">
        <f aca="false">IF(G122="","",G122-F122)</f>
        <v/>
      </c>
      <c r="K122" s="70" t="str">
        <f aca="false">IF(I122="","",I122-H122)</f>
        <v/>
      </c>
      <c r="L122" s="32" t="str">
        <f aca="false">IF(OR(G122="",F122=0),"",G122/F122)</f>
        <v/>
      </c>
      <c r="M122" s="33"/>
    </row>
    <row r="123" customFormat="false" ht="18" hidden="false" customHeight="true" outlineLevel="0" collapsed="false">
      <c r="A123" s="57" t="n">
        <v>119</v>
      </c>
      <c r="B123" s="64"/>
      <c r="C123" s="33"/>
      <c r="D123" s="33"/>
      <c r="E123" s="10"/>
      <c r="F123" s="63" t="n">
        <f aca="false">'Norms &amp; Assumptions'!B33</f>
        <v>150</v>
      </c>
      <c r="G123" s="60"/>
      <c r="H123" s="67" t="n">
        <f aca="false">'Norms &amp; Assumptions'!B35</f>
        <v>0.18</v>
      </c>
      <c r="I123" s="68"/>
      <c r="J123" s="69" t="str">
        <f aca="false">IF(G123="","",G123-F123)</f>
        <v/>
      </c>
      <c r="K123" s="70" t="str">
        <f aca="false">IF(I123="","",I123-H123)</f>
        <v/>
      </c>
      <c r="L123" s="32" t="str">
        <f aca="false">IF(OR(G123="",F123=0),"",G123/F123)</f>
        <v/>
      </c>
      <c r="M123" s="33"/>
    </row>
    <row r="124" customFormat="false" ht="18" hidden="false" customHeight="true" outlineLevel="0" collapsed="false">
      <c r="A124" s="57" t="n">
        <v>120</v>
      </c>
      <c r="B124" s="64"/>
      <c r="C124" s="33"/>
      <c r="D124" s="33"/>
      <c r="E124" s="10"/>
      <c r="F124" s="63" t="n">
        <f aca="false">'Norms &amp; Assumptions'!B33</f>
        <v>150</v>
      </c>
      <c r="G124" s="60"/>
      <c r="H124" s="67" t="n">
        <f aca="false">'Norms &amp; Assumptions'!B35</f>
        <v>0.18</v>
      </c>
      <c r="I124" s="68"/>
      <c r="J124" s="69" t="str">
        <f aca="false">IF(G124="","",G124-F124)</f>
        <v/>
      </c>
      <c r="K124" s="70" t="str">
        <f aca="false">IF(I124="","",I124-H124)</f>
        <v/>
      </c>
      <c r="L124" s="32" t="str">
        <f aca="false">IF(OR(G124="",F124=0),"",G124/F124)</f>
        <v/>
      </c>
      <c r="M124" s="33"/>
    </row>
    <row r="126" customFormat="false" ht="15" hidden="false" customHeight="true" outlineLevel="0" collapsed="false">
      <c r="A126" s="49" t="s">
        <v>324</v>
      </c>
      <c r="B126" s="49"/>
      <c r="C126" s="49"/>
      <c r="D126" s="49"/>
      <c r="E126" s="49"/>
      <c r="F126" s="51" t="n">
        <f aca="false">SUM(F5:F124)</f>
        <v>18000</v>
      </c>
      <c r="G126" s="51" t="n">
        <f aca="false">SUM(G5:G124)</f>
        <v>0</v>
      </c>
      <c r="H126" s="52" t="n">
        <f aca="false">SUM(H5:H124)</f>
        <v>21.6</v>
      </c>
      <c r="I126" s="52" t="n">
        <f aca="false">SUM(I5:I124)</f>
        <v>0</v>
      </c>
      <c r="J126" s="50"/>
      <c r="K126" s="50"/>
      <c r="L126" s="55" t="n">
        <f aca="false">IFERROR(G126/F126,"")</f>
        <v>0</v>
      </c>
      <c r="M126" s="50"/>
    </row>
  </sheetData>
  <mergeCells count="3">
    <mergeCell ref="A1:L1"/>
    <mergeCell ref="A2:L2"/>
    <mergeCell ref="A126:E126"/>
  </mergeCells>
  <conditionalFormatting sqref="L5:L124">
    <cfRule type="cellIs" priority="2" operator="greaterThanOrEqual" aboveAverage="0" equalAverage="0" bottom="0" percent="0" rank="0" text="" dxfId="0">
      <formula>0.9</formula>
    </cfRule>
    <cfRule type="cellIs" priority="3" operator="between" aboveAverage="0" equalAverage="0" bottom="0" percent="0" rank="0" text="" dxfId="1">
      <formula>0.75</formula>
      <formula>0.89</formula>
    </cfRule>
    <cfRule type="cellIs" priority="4" operator="lessThan" aboveAverage="0" equalAverage="0" bottom="0" percent="0" rank="0" text="" dxfId="2">
      <formula>0.75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A1B9A"/>
    <pageSetUpPr fitToPage="false"/>
  </sheetPr>
  <dimension ref="A1:J48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4"/>
    <col collapsed="false" customWidth="true" hidden="false" outlineLevel="0" max="3" min="3" style="1" width="22"/>
    <col collapsed="false" customWidth="true" hidden="false" outlineLevel="0" max="4" min="4" style="1" width="12"/>
    <col collapsed="false" customWidth="true" hidden="false" outlineLevel="0" max="8" min="5" style="1" width="16"/>
    <col collapsed="false" customWidth="true" hidden="false" outlineLevel="0" max="9" min="9" style="1" width="14"/>
    <col collapsed="false" customWidth="true" hidden="false" outlineLevel="0" max="10" min="10" style="1" width="20"/>
  </cols>
  <sheetData>
    <row r="1" customFormat="false" ht="42" hidden="false" customHeight="true" outlineLevel="0" collapsed="false">
      <c r="A1" s="2" t="s">
        <v>325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21.75" hidden="false" customHeight="true" outlineLevel="0" collapsed="false">
      <c r="A2" s="3" t="s">
        <v>326</v>
      </c>
      <c r="B2" s="3"/>
      <c r="C2" s="3"/>
      <c r="D2" s="3"/>
      <c r="E2" s="3"/>
      <c r="F2" s="3"/>
      <c r="G2" s="3"/>
      <c r="H2" s="3"/>
      <c r="I2" s="3"/>
      <c r="J2" s="3"/>
    </row>
    <row r="4" customFormat="false" ht="31.5" hidden="false" customHeight="true" outlineLevel="0" collapsed="false">
      <c r="A4" s="20" t="s">
        <v>288</v>
      </c>
      <c r="B4" s="20" t="s">
        <v>33</v>
      </c>
      <c r="C4" s="20" t="s">
        <v>327</v>
      </c>
      <c r="D4" s="20" t="s">
        <v>5</v>
      </c>
      <c r="E4" s="20" t="s">
        <v>328</v>
      </c>
      <c r="F4" s="20" t="s">
        <v>116</v>
      </c>
      <c r="G4" s="20" t="s">
        <v>329</v>
      </c>
      <c r="H4" s="20" t="s">
        <v>330</v>
      </c>
      <c r="I4" s="20" t="s">
        <v>331</v>
      </c>
      <c r="J4" s="20" t="s">
        <v>6</v>
      </c>
    </row>
    <row r="5" customFormat="false" ht="18" hidden="false" customHeight="true" outlineLevel="0" collapsed="false">
      <c r="A5" s="57" t="n">
        <v>1</v>
      </c>
      <c r="B5" s="64"/>
      <c r="C5" s="6" t="s">
        <v>332</v>
      </c>
      <c r="D5" s="8" t="s">
        <v>333</v>
      </c>
      <c r="E5" s="71" t="n">
        <f aca="false">'Norms &amp; Assumptions'!B43</f>
        <v>2.5</v>
      </c>
      <c r="F5" s="63" t="n">
        <f aca="false">IF(B5="",2,IF(B5&gt;=DATE(2026,4,8),4,2))</f>
        <v>2</v>
      </c>
      <c r="G5" s="71" t="n">
        <f aca="false">E5*F5</f>
        <v>5</v>
      </c>
      <c r="H5" s="59"/>
      <c r="I5" s="72" t="str">
        <f aca="false">IF(H5="","",H5-G5)</f>
        <v/>
      </c>
      <c r="J5" s="33"/>
    </row>
    <row r="6" customFormat="false" ht="18" hidden="false" customHeight="true" outlineLevel="0" collapsed="false">
      <c r="A6" s="57" t="n">
        <v>2</v>
      </c>
      <c r="B6" s="73" t="n">
        <f aca="false">B5</f>
        <v>0</v>
      </c>
      <c r="C6" s="6" t="s">
        <v>81</v>
      </c>
      <c r="D6" s="8" t="s">
        <v>333</v>
      </c>
      <c r="E6" s="71" t="n">
        <f aca="false">'Norms &amp; Assumptions'!B44</f>
        <v>1.2</v>
      </c>
      <c r="F6" s="63" t="n">
        <f aca="false">IF(B5="",2,IF(B5&gt;=DATE(2026,4,8),4,2))</f>
        <v>2</v>
      </c>
      <c r="G6" s="71" t="n">
        <f aca="false">E6*F6</f>
        <v>2.4</v>
      </c>
      <c r="H6" s="59"/>
      <c r="I6" s="72" t="str">
        <f aca="false">IF(H6="","",H6-G6)</f>
        <v/>
      </c>
      <c r="J6" s="33"/>
    </row>
    <row r="7" customFormat="false" ht="18" hidden="false" customHeight="true" outlineLevel="0" collapsed="false">
      <c r="A7" s="57" t="n">
        <v>3</v>
      </c>
      <c r="B7" s="73" t="n">
        <f aca="false">B5</f>
        <v>0</v>
      </c>
      <c r="C7" s="6" t="s">
        <v>334</v>
      </c>
      <c r="D7" s="8" t="s">
        <v>335</v>
      </c>
      <c r="E7" s="71" t="n">
        <f aca="false">'Norms &amp; Assumptions'!B45</f>
        <v>0.5</v>
      </c>
      <c r="F7" s="63" t="n">
        <f aca="false">IF(B5="",2,IF(B5&gt;=DATE(2026,4,8),4,2))</f>
        <v>2</v>
      </c>
      <c r="G7" s="71" t="n">
        <f aca="false">E7*F7</f>
        <v>1</v>
      </c>
      <c r="H7" s="59"/>
      <c r="I7" s="72" t="str">
        <f aca="false">IF(H7="","",H7-G7)</f>
        <v/>
      </c>
      <c r="J7" s="33"/>
    </row>
    <row r="8" customFormat="false" ht="18" hidden="false" customHeight="true" outlineLevel="0" collapsed="false">
      <c r="A8" s="57" t="n">
        <v>4</v>
      </c>
      <c r="B8" s="73" t="n">
        <f aca="false">B5</f>
        <v>0</v>
      </c>
      <c r="C8" s="6" t="s">
        <v>336</v>
      </c>
      <c r="D8" s="8" t="s">
        <v>337</v>
      </c>
      <c r="E8" s="71" t="n">
        <f aca="false">'Norms &amp; Assumptions'!B46</f>
        <v>0.05</v>
      </c>
      <c r="F8" s="63" t="n">
        <f aca="false">IF(B5="",2,IF(B5&gt;=DATE(2026,4,8),4,2))</f>
        <v>2</v>
      </c>
      <c r="G8" s="71" t="n">
        <f aca="false">E8*F8</f>
        <v>0.1</v>
      </c>
      <c r="H8" s="59"/>
      <c r="I8" s="72" t="str">
        <f aca="false">IF(H8="","",H8-G8)</f>
        <v/>
      </c>
      <c r="J8" s="33"/>
    </row>
    <row r="9" customFormat="false" ht="18" hidden="false" customHeight="true" outlineLevel="0" collapsed="false">
      <c r="A9" s="57" t="n">
        <v>5</v>
      </c>
      <c r="B9" s="73" t="n">
        <f aca="false">B5</f>
        <v>0</v>
      </c>
      <c r="C9" s="6" t="s">
        <v>338</v>
      </c>
      <c r="D9" s="8" t="s">
        <v>339</v>
      </c>
      <c r="E9" s="71" t="n">
        <f aca="false">'Norms &amp; Assumptions'!B47</f>
        <v>0.2</v>
      </c>
      <c r="F9" s="63" t="n">
        <f aca="false">IF(B5="",2,IF(B5&gt;=DATE(2026,4,8),4,2))</f>
        <v>2</v>
      </c>
      <c r="G9" s="71" t="n">
        <f aca="false">E9*F9</f>
        <v>0.4</v>
      </c>
      <c r="H9" s="59"/>
      <c r="I9" s="72" t="str">
        <f aca="false">IF(H9="","",H9-G9)</f>
        <v/>
      </c>
      <c r="J9" s="33"/>
    </row>
    <row r="10" customFormat="false" ht="18" hidden="false" customHeight="true" outlineLevel="0" collapsed="false">
      <c r="A10" s="57" t="n">
        <v>6</v>
      </c>
      <c r="B10" s="73" t="n">
        <f aca="false">B5</f>
        <v>0</v>
      </c>
      <c r="C10" s="6" t="s">
        <v>340</v>
      </c>
      <c r="D10" s="8" t="s">
        <v>341</v>
      </c>
      <c r="E10" s="71" t="n">
        <f aca="false">'Norms &amp; Assumptions'!B48</f>
        <v>0.2</v>
      </c>
      <c r="F10" s="63" t="n">
        <f aca="false">IF(B5="",2,IF(B5&gt;=DATE(2026,4,8),4,2))</f>
        <v>2</v>
      </c>
      <c r="G10" s="71" t="n">
        <f aca="false">E10*F10</f>
        <v>0.4</v>
      </c>
      <c r="H10" s="59"/>
      <c r="I10" s="72" t="str">
        <f aca="false">IF(H10="","",H10-G10)</f>
        <v/>
      </c>
      <c r="J10" s="33"/>
    </row>
    <row r="11" customFormat="false" ht="18" hidden="false" customHeight="true" outlineLevel="0" collapsed="false">
      <c r="A11" s="57" t="n">
        <v>7</v>
      </c>
      <c r="B11" s="73" t="n">
        <f aca="false">B5</f>
        <v>0</v>
      </c>
      <c r="C11" s="6" t="s">
        <v>342</v>
      </c>
      <c r="D11" s="8" t="s">
        <v>343</v>
      </c>
      <c r="E11" s="71" t="n">
        <f aca="false">'Norms &amp; Assumptions'!B49</f>
        <v>0.05</v>
      </c>
      <c r="F11" s="63" t="n">
        <f aca="false">IF(B5="",2,IF(B5&gt;=DATE(2026,4,8),4,2))</f>
        <v>2</v>
      </c>
      <c r="G11" s="71" t="n">
        <f aca="false">E11*F11</f>
        <v>0.1</v>
      </c>
      <c r="H11" s="59"/>
      <c r="I11" s="72" t="str">
        <f aca="false">IF(H11="","",H11-G11)</f>
        <v/>
      </c>
      <c r="J11" s="33"/>
    </row>
    <row r="12" customFormat="false" ht="18" hidden="false" customHeight="true" outlineLevel="0" collapsed="false">
      <c r="A12" s="57" t="n">
        <v>8</v>
      </c>
      <c r="B12" s="73" t="n">
        <f aca="false">B5</f>
        <v>0</v>
      </c>
      <c r="C12" s="6" t="s">
        <v>98</v>
      </c>
      <c r="D12" s="8" t="s">
        <v>344</v>
      </c>
      <c r="E12" s="71" t="n">
        <f aca="false">'Norms &amp; Assumptions'!B50</f>
        <v>0.033</v>
      </c>
      <c r="F12" s="63" t="n">
        <f aca="false">IF(B5="",2,IF(B5&gt;=DATE(2026,4,8),4,2))</f>
        <v>2</v>
      </c>
      <c r="G12" s="71" t="n">
        <f aca="false">E12*F12</f>
        <v>0.066</v>
      </c>
      <c r="H12" s="59"/>
      <c r="I12" s="72" t="str">
        <f aca="false">IF(H12="","",H12-G12)</f>
        <v/>
      </c>
      <c r="J12" s="33"/>
    </row>
    <row r="13" customFormat="false" ht="18" hidden="false" customHeight="true" outlineLevel="0" collapsed="false">
      <c r="A13" s="57" t="n">
        <v>9</v>
      </c>
      <c r="B13" s="64"/>
      <c r="C13" s="6" t="s">
        <v>332</v>
      </c>
      <c r="D13" s="8" t="s">
        <v>333</v>
      </c>
      <c r="E13" s="71" t="n">
        <f aca="false">'Norms &amp; Assumptions'!B43</f>
        <v>2.5</v>
      </c>
      <c r="F13" s="63" t="n">
        <f aca="false">IF(B13="",2,IF(B13&gt;=DATE(2026,4,8),4,2))</f>
        <v>2</v>
      </c>
      <c r="G13" s="71" t="n">
        <f aca="false">E13*F13</f>
        <v>5</v>
      </c>
      <c r="H13" s="59"/>
      <c r="I13" s="72" t="str">
        <f aca="false">IF(H13="","",H13-G13)</f>
        <v/>
      </c>
      <c r="J13" s="33"/>
    </row>
    <row r="14" customFormat="false" ht="18" hidden="false" customHeight="true" outlineLevel="0" collapsed="false">
      <c r="A14" s="57" t="n">
        <v>10</v>
      </c>
      <c r="B14" s="73" t="n">
        <f aca="false">B13</f>
        <v>0</v>
      </c>
      <c r="C14" s="6" t="s">
        <v>81</v>
      </c>
      <c r="D14" s="8" t="s">
        <v>333</v>
      </c>
      <c r="E14" s="71" t="n">
        <f aca="false">'Norms &amp; Assumptions'!B44</f>
        <v>1.2</v>
      </c>
      <c r="F14" s="63" t="n">
        <f aca="false">IF(B13="",2,IF(B13&gt;=DATE(2026,4,8),4,2))</f>
        <v>2</v>
      </c>
      <c r="G14" s="71" t="n">
        <f aca="false">E14*F14</f>
        <v>2.4</v>
      </c>
      <c r="H14" s="59"/>
      <c r="I14" s="72" t="str">
        <f aca="false">IF(H14="","",H14-G14)</f>
        <v/>
      </c>
      <c r="J14" s="33"/>
    </row>
    <row r="15" customFormat="false" ht="18" hidden="false" customHeight="true" outlineLevel="0" collapsed="false">
      <c r="A15" s="57" t="n">
        <v>11</v>
      </c>
      <c r="B15" s="73" t="n">
        <f aca="false">B13</f>
        <v>0</v>
      </c>
      <c r="C15" s="6" t="s">
        <v>334</v>
      </c>
      <c r="D15" s="8" t="s">
        <v>335</v>
      </c>
      <c r="E15" s="71" t="n">
        <f aca="false">'Norms &amp; Assumptions'!B45</f>
        <v>0.5</v>
      </c>
      <c r="F15" s="63" t="n">
        <f aca="false">IF(B13="",2,IF(B13&gt;=DATE(2026,4,8),4,2))</f>
        <v>2</v>
      </c>
      <c r="G15" s="71" t="n">
        <f aca="false">E15*F15</f>
        <v>1</v>
      </c>
      <c r="H15" s="59"/>
      <c r="I15" s="72" t="str">
        <f aca="false">IF(H15="","",H15-G15)</f>
        <v/>
      </c>
      <c r="J15" s="33"/>
    </row>
    <row r="16" customFormat="false" ht="18" hidden="false" customHeight="true" outlineLevel="0" collapsed="false">
      <c r="A16" s="57" t="n">
        <v>12</v>
      </c>
      <c r="B16" s="73" t="n">
        <f aca="false">B13</f>
        <v>0</v>
      </c>
      <c r="C16" s="6" t="s">
        <v>336</v>
      </c>
      <c r="D16" s="8" t="s">
        <v>337</v>
      </c>
      <c r="E16" s="71" t="n">
        <f aca="false">'Norms &amp; Assumptions'!B46</f>
        <v>0.05</v>
      </c>
      <c r="F16" s="63" t="n">
        <f aca="false">IF(B13="",2,IF(B13&gt;=DATE(2026,4,8),4,2))</f>
        <v>2</v>
      </c>
      <c r="G16" s="71" t="n">
        <f aca="false">E16*F16</f>
        <v>0.1</v>
      </c>
      <c r="H16" s="59"/>
      <c r="I16" s="72" t="str">
        <f aca="false">IF(H16="","",H16-G16)</f>
        <v/>
      </c>
      <c r="J16" s="33"/>
    </row>
    <row r="17" customFormat="false" ht="18" hidden="false" customHeight="true" outlineLevel="0" collapsed="false">
      <c r="A17" s="57" t="n">
        <v>13</v>
      </c>
      <c r="B17" s="73" t="n">
        <f aca="false">B13</f>
        <v>0</v>
      </c>
      <c r="C17" s="6" t="s">
        <v>338</v>
      </c>
      <c r="D17" s="8" t="s">
        <v>339</v>
      </c>
      <c r="E17" s="71" t="n">
        <f aca="false">'Norms &amp; Assumptions'!B47</f>
        <v>0.2</v>
      </c>
      <c r="F17" s="63" t="n">
        <f aca="false">IF(B13="",2,IF(B13&gt;=DATE(2026,4,8),4,2))</f>
        <v>2</v>
      </c>
      <c r="G17" s="71" t="n">
        <f aca="false">E17*F17</f>
        <v>0.4</v>
      </c>
      <c r="H17" s="59"/>
      <c r="I17" s="72" t="str">
        <f aca="false">IF(H17="","",H17-G17)</f>
        <v/>
      </c>
      <c r="J17" s="33"/>
    </row>
    <row r="18" customFormat="false" ht="18" hidden="false" customHeight="true" outlineLevel="0" collapsed="false">
      <c r="A18" s="57" t="n">
        <v>14</v>
      </c>
      <c r="B18" s="73" t="n">
        <f aca="false">B13</f>
        <v>0</v>
      </c>
      <c r="C18" s="6" t="s">
        <v>340</v>
      </c>
      <c r="D18" s="8" t="s">
        <v>341</v>
      </c>
      <c r="E18" s="71" t="n">
        <f aca="false">'Norms &amp; Assumptions'!B48</f>
        <v>0.2</v>
      </c>
      <c r="F18" s="63" t="n">
        <f aca="false">IF(B13="",2,IF(B13&gt;=DATE(2026,4,8),4,2))</f>
        <v>2</v>
      </c>
      <c r="G18" s="71" t="n">
        <f aca="false">E18*F18</f>
        <v>0.4</v>
      </c>
      <c r="H18" s="59"/>
      <c r="I18" s="72" t="str">
        <f aca="false">IF(H18="","",H18-G18)</f>
        <v/>
      </c>
      <c r="J18" s="33"/>
    </row>
    <row r="19" customFormat="false" ht="18" hidden="false" customHeight="true" outlineLevel="0" collapsed="false">
      <c r="A19" s="57" t="n">
        <v>15</v>
      </c>
      <c r="B19" s="73" t="n">
        <f aca="false">B13</f>
        <v>0</v>
      </c>
      <c r="C19" s="6" t="s">
        <v>342</v>
      </c>
      <c r="D19" s="8" t="s">
        <v>343</v>
      </c>
      <c r="E19" s="71" t="n">
        <f aca="false">'Norms &amp; Assumptions'!B49</f>
        <v>0.05</v>
      </c>
      <c r="F19" s="63" t="n">
        <f aca="false">IF(B13="",2,IF(B13&gt;=DATE(2026,4,8),4,2))</f>
        <v>2</v>
      </c>
      <c r="G19" s="71" t="n">
        <f aca="false">E19*F19</f>
        <v>0.1</v>
      </c>
      <c r="H19" s="59"/>
      <c r="I19" s="72" t="str">
        <f aca="false">IF(H19="","",H19-G19)</f>
        <v/>
      </c>
      <c r="J19" s="33"/>
    </row>
    <row r="20" customFormat="false" ht="18" hidden="false" customHeight="true" outlineLevel="0" collapsed="false">
      <c r="A20" s="57" t="n">
        <v>16</v>
      </c>
      <c r="B20" s="73" t="n">
        <f aca="false">B13</f>
        <v>0</v>
      </c>
      <c r="C20" s="6" t="s">
        <v>98</v>
      </c>
      <c r="D20" s="8" t="s">
        <v>344</v>
      </c>
      <c r="E20" s="71" t="n">
        <f aca="false">'Norms &amp; Assumptions'!B50</f>
        <v>0.033</v>
      </c>
      <c r="F20" s="63" t="n">
        <f aca="false">IF(B13="",2,IF(B13&gt;=DATE(2026,4,8),4,2))</f>
        <v>2</v>
      </c>
      <c r="G20" s="71" t="n">
        <f aca="false">E20*F20</f>
        <v>0.066</v>
      </c>
      <c r="H20" s="59"/>
      <c r="I20" s="72" t="str">
        <f aca="false">IF(H20="","",H20-G20)</f>
        <v/>
      </c>
      <c r="J20" s="33"/>
    </row>
    <row r="21" customFormat="false" ht="18" hidden="false" customHeight="true" outlineLevel="0" collapsed="false">
      <c r="A21" s="57" t="n">
        <v>17</v>
      </c>
      <c r="B21" s="64"/>
      <c r="C21" s="6" t="s">
        <v>332</v>
      </c>
      <c r="D21" s="8" t="s">
        <v>333</v>
      </c>
      <c r="E21" s="71" t="n">
        <f aca="false">'Norms &amp; Assumptions'!B43</f>
        <v>2.5</v>
      </c>
      <c r="F21" s="63" t="n">
        <f aca="false">IF(B21="",2,IF(B21&gt;=DATE(2026,4,8),4,2))</f>
        <v>2</v>
      </c>
      <c r="G21" s="71" t="n">
        <f aca="false">E21*F21</f>
        <v>5</v>
      </c>
      <c r="H21" s="59"/>
      <c r="I21" s="72" t="str">
        <f aca="false">IF(H21="","",H21-G21)</f>
        <v/>
      </c>
      <c r="J21" s="33"/>
    </row>
    <row r="22" customFormat="false" ht="18" hidden="false" customHeight="true" outlineLevel="0" collapsed="false">
      <c r="A22" s="57" t="n">
        <v>18</v>
      </c>
      <c r="B22" s="73" t="n">
        <f aca="false">B21</f>
        <v>0</v>
      </c>
      <c r="C22" s="6" t="s">
        <v>81</v>
      </c>
      <c r="D22" s="8" t="s">
        <v>333</v>
      </c>
      <c r="E22" s="71" t="n">
        <f aca="false">'Norms &amp; Assumptions'!B44</f>
        <v>1.2</v>
      </c>
      <c r="F22" s="63" t="n">
        <f aca="false">IF(B21="",2,IF(B21&gt;=DATE(2026,4,8),4,2))</f>
        <v>2</v>
      </c>
      <c r="G22" s="71" t="n">
        <f aca="false">E22*F22</f>
        <v>2.4</v>
      </c>
      <c r="H22" s="59"/>
      <c r="I22" s="72" t="str">
        <f aca="false">IF(H22="","",H22-G22)</f>
        <v/>
      </c>
      <c r="J22" s="33"/>
    </row>
    <row r="23" customFormat="false" ht="18" hidden="false" customHeight="true" outlineLevel="0" collapsed="false">
      <c r="A23" s="57" t="n">
        <v>19</v>
      </c>
      <c r="B23" s="73" t="n">
        <f aca="false">B21</f>
        <v>0</v>
      </c>
      <c r="C23" s="6" t="s">
        <v>334</v>
      </c>
      <c r="D23" s="8" t="s">
        <v>335</v>
      </c>
      <c r="E23" s="71" t="n">
        <f aca="false">'Norms &amp; Assumptions'!B45</f>
        <v>0.5</v>
      </c>
      <c r="F23" s="63" t="n">
        <f aca="false">IF(B21="",2,IF(B21&gt;=DATE(2026,4,8),4,2))</f>
        <v>2</v>
      </c>
      <c r="G23" s="71" t="n">
        <f aca="false">E23*F23</f>
        <v>1</v>
      </c>
      <c r="H23" s="59"/>
      <c r="I23" s="72" t="str">
        <f aca="false">IF(H23="","",H23-G23)</f>
        <v/>
      </c>
      <c r="J23" s="33"/>
    </row>
    <row r="24" customFormat="false" ht="18" hidden="false" customHeight="true" outlineLevel="0" collapsed="false">
      <c r="A24" s="57" t="n">
        <v>20</v>
      </c>
      <c r="B24" s="73" t="n">
        <f aca="false">B21</f>
        <v>0</v>
      </c>
      <c r="C24" s="6" t="s">
        <v>336</v>
      </c>
      <c r="D24" s="8" t="s">
        <v>337</v>
      </c>
      <c r="E24" s="71" t="n">
        <f aca="false">'Norms &amp; Assumptions'!B46</f>
        <v>0.05</v>
      </c>
      <c r="F24" s="63" t="n">
        <f aca="false">IF(B21="",2,IF(B21&gt;=DATE(2026,4,8),4,2))</f>
        <v>2</v>
      </c>
      <c r="G24" s="71" t="n">
        <f aca="false">E24*F24</f>
        <v>0.1</v>
      </c>
      <c r="H24" s="59"/>
      <c r="I24" s="72" t="str">
        <f aca="false">IF(H24="","",H24-G24)</f>
        <v/>
      </c>
      <c r="J24" s="33"/>
    </row>
    <row r="25" customFormat="false" ht="18" hidden="false" customHeight="true" outlineLevel="0" collapsed="false">
      <c r="A25" s="57" t="n">
        <v>21</v>
      </c>
      <c r="B25" s="73" t="n">
        <f aca="false">B21</f>
        <v>0</v>
      </c>
      <c r="C25" s="6" t="s">
        <v>338</v>
      </c>
      <c r="D25" s="8" t="s">
        <v>339</v>
      </c>
      <c r="E25" s="71" t="n">
        <f aca="false">'Norms &amp; Assumptions'!B47</f>
        <v>0.2</v>
      </c>
      <c r="F25" s="63" t="n">
        <f aca="false">IF(B21="",2,IF(B21&gt;=DATE(2026,4,8),4,2))</f>
        <v>2</v>
      </c>
      <c r="G25" s="71" t="n">
        <f aca="false">E25*F25</f>
        <v>0.4</v>
      </c>
      <c r="H25" s="59"/>
      <c r="I25" s="72" t="str">
        <f aca="false">IF(H25="","",H25-G25)</f>
        <v/>
      </c>
      <c r="J25" s="33"/>
    </row>
    <row r="26" customFormat="false" ht="18" hidden="false" customHeight="true" outlineLevel="0" collapsed="false">
      <c r="A26" s="57" t="n">
        <v>22</v>
      </c>
      <c r="B26" s="73" t="n">
        <f aca="false">B21</f>
        <v>0</v>
      </c>
      <c r="C26" s="6" t="s">
        <v>340</v>
      </c>
      <c r="D26" s="8" t="s">
        <v>341</v>
      </c>
      <c r="E26" s="71" t="n">
        <f aca="false">'Norms &amp; Assumptions'!B48</f>
        <v>0.2</v>
      </c>
      <c r="F26" s="63" t="n">
        <f aca="false">IF(B21="",2,IF(B21&gt;=DATE(2026,4,8),4,2))</f>
        <v>2</v>
      </c>
      <c r="G26" s="71" t="n">
        <f aca="false">E26*F26</f>
        <v>0.4</v>
      </c>
      <c r="H26" s="59"/>
      <c r="I26" s="72" t="str">
        <f aca="false">IF(H26="","",H26-G26)</f>
        <v/>
      </c>
      <c r="J26" s="33"/>
    </row>
    <row r="27" customFormat="false" ht="18" hidden="false" customHeight="true" outlineLevel="0" collapsed="false">
      <c r="A27" s="57" t="n">
        <v>23</v>
      </c>
      <c r="B27" s="73" t="n">
        <f aca="false">B21</f>
        <v>0</v>
      </c>
      <c r="C27" s="6" t="s">
        <v>342</v>
      </c>
      <c r="D27" s="8" t="s">
        <v>343</v>
      </c>
      <c r="E27" s="71" t="n">
        <f aca="false">'Norms &amp; Assumptions'!B49</f>
        <v>0.05</v>
      </c>
      <c r="F27" s="63" t="n">
        <f aca="false">IF(B21="",2,IF(B21&gt;=DATE(2026,4,8),4,2))</f>
        <v>2</v>
      </c>
      <c r="G27" s="71" t="n">
        <f aca="false">E27*F27</f>
        <v>0.1</v>
      </c>
      <c r="H27" s="59"/>
      <c r="I27" s="72" t="str">
        <f aca="false">IF(H27="","",H27-G27)</f>
        <v/>
      </c>
      <c r="J27" s="33"/>
    </row>
    <row r="28" customFormat="false" ht="18" hidden="false" customHeight="true" outlineLevel="0" collapsed="false">
      <c r="A28" s="57" t="n">
        <v>24</v>
      </c>
      <c r="B28" s="73" t="n">
        <f aca="false">B21</f>
        <v>0</v>
      </c>
      <c r="C28" s="6" t="s">
        <v>98</v>
      </c>
      <c r="D28" s="8" t="s">
        <v>344</v>
      </c>
      <c r="E28" s="71" t="n">
        <f aca="false">'Norms &amp; Assumptions'!B50</f>
        <v>0.033</v>
      </c>
      <c r="F28" s="63" t="n">
        <f aca="false">IF(B21="",2,IF(B21&gt;=DATE(2026,4,8),4,2))</f>
        <v>2</v>
      </c>
      <c r="G28" s="71" t="n">
        <f aca="false">E28*F28</f>
        <v>0.066</v>
      </c>
      <c r="H28" s="59"/>
      <c r="I28" s="72" t="str">
        <f aca="false">IF(H28="","",H28-G28)</f>
        <v/>
      </c>
      <c r="J28" s="33"/>
    </row>
    <row r="29" customFormat="false" ht="18" hidden="false" customHeight="true" outlineLevel="0" collapsed="false">
      <c r="A29" s="57" t="n">
        <v>25</v>
      </c>
      <c r="B29" s="64"/>
      <c r="C29" s="6" t="s">
        <v>332</v>
      </c>
      <c r="D29" s="8" t="s">
        <v>333</v>
      </c>
      <c r="E29" s="71" t="n">
        <f aca="false">'Norms &amp; Assumptions'!B43</f>
        <v>2.5</v>
      </c>
      <c r="F29" s="63" t="n">
        <f aca="false">IF(B29="",2,IF(B29&gt;=DATE(2026,4,8),4,2))</f>
        <v>2</v>
      </c>
      <c r="G29" s="71" t="n">
        <f aca="false">E29*F29</f>
        <v>5</v>
      </c>
      <c r="H29" s="59"/>
      <c r="I29" s="72" t="str">
        <f aca="false">IF(H29="","",H29-G29)</f>
        <v/>
      </c>
      <c r="J29" s="33"/>
    </row>
    <row r="30" customFormat="false" ht="18" hidden="false" customHeight="true" outlineLevel="0" collapsed="false">
      <c r="A30" s="57" t="n">
        <v>26</v>
      </c>
      <c r="B30" s="73" t="n">
        <f aca="false">B29</f>
        <v>0</v>
      </c>
      <c r="C30" s="6" t="s">
        <v>81</v>
      </c>
      <c r="D30" s="8" t="s">
        <v>333</v>
      </c>
      <c r="E30" s="71" t="n">
        <f aca="false">'Norms &amp; Assumptions'!B44</f>
        <v>1.2</v>
      </c>
      <c r="F30" s="63" t="n">
        <f aca="false">IF(B29="",2,IF(B29&gt;=DATE(2026,4,8),4,2))</f>
        <v>2</v>
      </c>
      <c r="G30" s="71" t="n">
        <f aca="false">E30*F30</f>
        <v>2.4</v>
      </c>
      <c r="H30" s="59"/>
      <c r="I30" s="72" t="str">
        <f aca="false">IF(H30="","",H30-G30)</f>
        <v/>
      </c>
      <c r="J30" s="33"/>
    </row>
    <row r="31" customFormat="false" ht="18" hidden="false" customHeight="true" outlineLevel="0" collapsed="false">
      <c r="A31" s="57" t="n">
        <v>27</v>
      </c>
      <c r="B31" s="73" t="n">
        <f aca="false">B29</f>
        <v>0</v>
      </c>
      <c r="C31" s="6" t="s">
        <v>334</v>
      </c>
      <c r="D31" s="8" t="s">
        <v>335</v>
      </c>
      <c r="E31" s="71" t="n">
        <f aca="false">'Norms &amp; Assumptions'!B45</f>
        <v>0.5</v>
      </c>
      <c r="F31" s="63" t="n">
        <f aca="false">IF(B29="",2,IF(B29&gt;=DATE(2026,4,8),4,2))</f>
        <v>2</v>
      </c>
      <c r="G31" s="71" t="n">
        <f aca="false">E31*F31</f>
        <v>1</v>
      </c>
      <c r="H31" s="59"/>
      <c r="I31" s="72" t="str">
        <f aca="false">IF(H31="","",H31-G31)</f>
        <v/>
      </c>
      <c r="J31" s="33"/>
    </row>
    <row r="32" customFormat="false" ht="18" hidden="false" customHeight="true" outlineLevel="0" collapsed="false">
      <c r="A32" s="57" t="n">
        <v>28</v>
      </c>
      <c r="B32" s="73" t="n">
        <f aca="false">B29</f>
        <v>0</v>
      </c>
      <c r="C32" s="6" t="s">
        <v>336</v>
      </c>
      <c r="D32" s="8" t="s">
        <v>337</v>
      </c>
      <c r="E32" s="71" t="n">
        <f aca="false">'Norms &amp; Assumptions'!B46</f>
        <v>0.05</v>
      </c>
      <c r="F32" s="63" t="n">
        <f aca="false">IF(B29="",2,IF(B29&gt;=DATE(2026,4,8),4,2))</f>
        <v>2</v>
      </c>
      <c r="G32" s="71" t="n">
        <f aca="false">E32*F32</f>
        <v>0.1</v>
      </c>
      <c r="H32" s="59"/>
      <c r="I32" s="72" t="str">
        <f aca="false">IF(H32="","",H32-G32)</f>
        <v/>
      </c>
      <c r="J32" s="33"/>
    </row>
    <row r="33" customFormat="false" ht="18" hidden="false" customHeight="true" outlineLevel="0" collapsed="false">
      <c r="A33" s="57" t="n">
        <v>29</v>
      </c>
      <c r="B33" s="73" t="n">
        <f aca="false">B29</f>
        <v>0</v>
      </c>
      <c r="C33" s="6" t="s">
        <v>338</v>
      </c>
      <c r="D33" s="8" t="s">
        <v>339</v>
      </c>
      <c r="E33" s="71" t="n">
        <f aca="false">'Norms &amp; Assumptions'!B47</f>
        <v>0.2</v>
      </c>
      <c r="F33" s="63" t="n">
        <f aca="false">IF(B29="",2,IF(B29&gt;=DATE(2026,4,8),4,2))</f>
        <v>2</v>
      </c>
      <c r="G33" s="71" t="n">
        <f aca="false">E33*F33</f>
        <v>0.4</v>
      </c>
      <c r="H33" s="59"/>
      <c r="I33" s="72" t="str">
        <f aca="false">IF(H33="","",H33-G33)</f>
        <v/>
      </c>
      <c r="J33" s="33"/>
    </row>
    <row r="34" customFormat="false" ht="18" hidden="false" customHeight="true" outlineLevel="0" collapsed="false">
      <c r="A34" s="57" t="n">
        <v>30</v>
      </c>
      <c r="B34" s="73" t="n">
        <f aca="false">B29</f>
        <v>0</v>
      </c>
      <c r="C34" s="6" t="s">
        <v>340</v>
      </c>
      <c r="D34" s="8" t="s">
        <v>341</v>
      </c>
      <c r="E34" s="71" t="n">
        <f aca="false">'Norms &amp; Assumptions'!B48</f>
        <v>0.2</v>
      </c>
      <c r="F34" s="63" t="n">
        <f aca="false">IF(B29="",2,IF(B29&gt;=DATE(2026,4,8),4,2))</f>
        <v>2</v>
      </c>
      <c r="G34" s="71" t="n">
        <f aca="false">E34*F34</f>
        <v>0.4</v>
      </c>
      <c r="H34" s="59"/>
      <c r="I34" s="72" t="str">
        <f aca="false">IF(H34="","",H34-G34)</f>
        <v/>
      </c>
      <c r="J34" s="33"/>
    </row>
    <row r="35" customFormat="false" ht="18" hidden="false" customHeight="true" outlineLevel="0" collapsed="false">
      <c r="A35" s="57" t="n">
        <v>31</v>
      </c>
      <c r="B35" s="73" t="n">
        <f aca="false">B29</f>
        <v>0</v>
      </c>
      <c r="C35" s="6" t="s">
        <v>342</v>
      </c>
      <c r="D35" s="8" t="s">
        <v>343</v>
      </c>
      <c r="E35" s="71" t="n">
        <f aca="false">'Norms &amp; Assumptions'!B49</f>
        <v>0.05</v>
      </c>
      <c r="F35" s="63" t="n">
        <f aca="false">IF(B29="",2,IF(B29&gt;=DATE(2026,4,8),4,2))</f>
        <v>2</v>
      </c>
      <c r="G35" s="71" t="n">
        <f aca="false">E35*F35</f>
        <v>0.1</v>
      </c>
      <c r="H35" s="59"/>
      <c r="I35" s="72" t="str">
        <f aca="false">IF(H35="","",H35-G35)</f>
        <v/>
      </c>
      <c r="J35" s="33"/>
    </row>
    <row r="36" customFormat="false" ht="18" hidden="false" customHeight="true" outlineLevel="0" collapsed="false">
      <c r="A36" s="57" t="n">
        <v>32</v>
      </c>
      <c r="B36" s="73" t="n">
        <f aca="false">B29</f>
        <v>0</v>
      </c>
      <c r="C36" s="6" t="s">
        <v>98</v>
      </c>
      <c r="D36" s="8" t="s">
        <v>344</v>
      </c>
      <c r="E36" s="71" t="n">
        <f aca="false">'Norms &amp; Assumptions'!B50</f>
        <v>0.033</v>
      </c>
      <c r="F36" s="63" t="n">
        <f aca="false">IF(B29="",2,IF(B29&gt;=DATE(2026,4,8),4,2))</f>
        <v>2</v>
      </c>
      <c r="G36" s="71" t="n">
        <f aca="false">E36*F36</f>
        <v>0.066</v>
      </c>
      <c r="H36" s="59"/>
      <c r="I36" s="72" t="str">
        <f aca="false">IF(H36="","",H36-G36)</f>
        <v/>
      </c>
      <c r="J36" s="33"/>
    </row>
    <row r="37" customFormat="false" ht="18" hidden="false" customHeight="true" outlineLevel="0" collapsed="false">
      <c r="A37" s="57" t="n">
        <v>33</v>
      </c>
      <c r="B37" s="64"/>
      <c r="C37" s="6" t="s">
        <v>332</v>
      </c>
      <c r="D37" s="8" t="s">
        <v>333</v>
      </c>
      <c r="E37" s="71" t="n">
        <f aca="false">'Norms &amp; Assumptions'!B43</f>
        <v>2.5</v>
      </c>
      <c r="F37" s="63" t="n">
        <f aca="false">IF(B37="",2,IF(B37&gt;=DATE(2026,4,8),4,2))</f>
        <v>2</v>
      </c>
      <c r="G37" s="71" t="n">
        <f aca="false">E37*F37</f>
        <v>5</v>
      </c>
      <c r="H37" s="59"/>
      <c r="I37" s="72" t="str">
        <f aca="false">IF(H37="","",H37-G37)</f>
        <v/>
      </c>
      <c r="J37" s="33"/>
    </row>
    <row r="38" customFormat="false" ht="18" hidden="false" customHeight="true" outlineLevel="0" collapsed="false">
      <c r="A38" s="57" t="n">
        <v>34</v>
      </c>
      <c r="B38" s="73" t="n">
        <f aca="false">B37</f>
        <v>0</v>
      </c>
      <c r="C38" s="6" t="s">
        <v>81</v>
      </c>
      <c r="D38" s="8" t="s">
        <v>333</v>
      </c>
      <c r="E38" s="71" t="n">
        <f aca="false">'Norms &amp; Assumptions'!B44</f>
        <v>1.2</v>
      </c>
      <c r="F38" s="63" t="n">
        <f aca="false">IF(B37="",2,IF(B37&gt;=DATE(2026,4,8),4,2))</f>
        <v>2</v>
      </c>
      <c r="G38" s="71" t="n">
        <f aca="false">E38*F38</f>
        <v>2.4</v>
      </c>
      <c r="H38" s="59"/>
      <c r="I38" s="72" t="str">
        <f aca="false">IF(H38="","",H38-G38)</f>
        <v/>
      </c>
      <c r="J38" s="33"/>
    </row>
    <row r="39" customFormat="false" ht="18" hidden="false" customHeight="true" outlineLevel="0" collapsed="false">
      <c r="A39" s="57" t="n">
        <v>35</v>
      </c>
      <c r="B39" s="73" t="n">
        <f aca="false">B37</f>
        <v>0</v>
      </c>
      <c r="C39" s="6" t="s">
        <v>334</v>
      </c>
      <c r="D39" s="8" t="s">
        <v>335</v>
      </c>
      <c r="E39" s="71" t="n">
        <f aca="false">'Norms &amp; Assumptions'!B45</f>
        <v>0.5</v>
      </c>
      <c r="F39" s="63" t="n">
        <f aca="false">IF(B37="",2,IF(B37&gt;=DATE(2026,4,8),4,2))</f>
        <v>2</v>
      </c>
      <c r="G39" s="71" t="n">
        <f aca="false">E39*F39</f>
        <v>1</v>
      </c>
      <c r="H39" s="59"/>
      <c r="I39" s="72" t="str">
        <f aca="false">IF(H39="","",H39-G39)</f>
        <v/>
      </c>
      <c r="J39" s="33"/>
    </row>
    <row r="40" customFormat="false" ht="18" hidden="false" customHeight="true" outlineLevel="0" collapsed="false">
      <c r="A40" s="57" t="n">
        <v>36</v>
      </c>
      <c r="B40" s="73" t="n">
        <f aca="false">B37</f>
        <v>0</v>
      </c>
      <c r="C40" s="6" t="s">
        <v>336</v>
      </c>
      <c r="D40" s="8" t="s">
        <v>337</v>
      </c>
      <c r="E40" s="71" t="n">
        <f aca="false">'Norms &amp; Assumptions'!B46</f>
        <v>0.05</v>
      </c>
      <c r="F40" s="63" t="n">
        <f aca="false">IF(B37="",2,IF(B37&gt;=DATE(2026,4,8),4,2))</f>
        <v>2</v>
      </c>
      <c r="G40" s="71" t="n">
        <f aca="false">E40*F40</f>
        <v>0.1</v>
      </c>
      <c r="H40" s="59"/>
      <c r="I40" s="72" t="str">
        <f aca="false">IF(H40="","",H40-G40)</f>
        <v/>
      </c>
      <c r="J40" s="33"/>
    </row>
    <row r="41" customFormat="false" ht="18" hidden="false" customHeight="true" outlineLevel="0" collapsed="false">
      <c r="A41" s="57" t="n">
        <v>37</v>
      </c>
      <c r="B41" s="73" t="n">
        <f aca="false">B37</f>
        <v>0</v>
      </c>
      <c r="C41" s="6" t="s">
        <v>338</v>
      </c>
      <c r="D41" s="8" t="s">
        <v>339</v>
      </c>
      <c r="E41" s="71" t="n">
        <f aca="false">'Norms &amp; Assumptions'!B47</f>
        <v>0.2</v>
      </c>
      <c r="F41" s="63" t="n">
        <f aca="false">IF(B37="",2,IF(B37&gt;=DATE(2026,4,8),4,2))</f>
        <v>2</v>
      </c>
      <c r="G41" s="71" t="n">
        <f aca="false">E41*F41</f>
        <v>0.4</v>
      </c>
      <c r="H41" s="59"/>
      <c r="I41" s="72" t="str">
        <f aca="false">IF(H41="","",H41-G41)</f>
        <v/>
      </c>
      <c r="J41" s="33"/>
    </row>
    <row r="42" customFormat="false" ht="18" hidden="false" customHeight="true" outlineLevel="0" collapsed="false">
      <c r="A42" s="57" t="n">
        <v>38</v>
      </c>
      <c r="B42" s="73" t="n">
        <f aca="false">B37</f>
        <v>0</v>
      </c>
      <c r="C42" s="6" t="s">
        <v>340</v>
      </c>
      <c r="D42" s="8" t="s">
        <v>341</v>
      </c>
      <c r="E42" s="71" t="n">
        <f aca="false">'Norms &amp; Assumptions'!B48</f>
        <v>0.2</v>
      </c>
      <c r="F42" s="63" t="n">
        <f aca="false">IF(B37="",2,IF(B37&gt;=DATE(2026,4,8),4,2))</f>
        <v>2</v>
      </c>
      <c r="G42" s="71" t="n">
        <f aca="false">E42*F42</f>
        <v>0.4</v>
      </c>
      <c r="H42" s="59"/>
      <c r="I42" s="72" t="str">
        <f aca="false">IF(H42="","",H42-G42)</f>
        <v/>
      </c>
      <c r="J42" s="33"/>
    </row>
    <row r="43" customFormat="false" ht="18" hidden="false" customHeight="true" outlineLevel="0" collapsed="false">
      <c r="A43" s="57" t="n">
        <v>39</v>
      </c>
      <c r="B43" s="73" t="n">
        <f aca="false">B37</f>
        <v>0</v>
      </c>
      <c r="C43" s="6" t="s">
        <v>342</v>
      </c>
      <c r="D43" s="8" t="s">
        <v>343</v>
      </c>
      <c r="E43" s="71" t="n">
        <f aca="false">'Norms &amp; Assumptions'!B49</f>
        <v>0.05</v>
      </c>
      <c r="F43" s="63" t="n">
        <f aca="false">IF(B37="",2,IF(B37&gt;=DATE(2026,4,8),4,2))</f>
        <v>2</v>
      </c>
      <c r="G43" s="71" t="n">
        <f aca="false">E43*F43</f>
        <v>0.1</v>
      </c>
      <c r="H43" s="59"/>
      <c r="I43" s="72" t="str">
        <f aca="false">IF(H43="","",H43-G43)</f>
        <v/>
      </c>
      <c r="J43" s="33"/>
    </row>
    <row r="44" customFormat="false" ht="18" hidden="false" customHeight="true" outlineLevel="0" collapsed="false">
      <c r="A44" s="57" t="n">
        <v>40</v>
      </c>
      <c r="B44" s="73" t="n">
        <f aca="false">B37</f>
        <v>0</v>
      </c>
      <c r="C44" s="6" t="s">
        <v>98</v>
      </c>
      <c r="D44" s="8" t="s">
        <v>344</v>
      </c>
      <c r="E44" s="71" t="n">
        <f aca="false">'Norms &amp; Assumptions'!B50</f>
        <v>0.033</v>
      </c>
      <c r="F44" s="63" t="n">
        <f aca="false">IF(B37="",2,IF(B37&gt;=DATE(2026,4,8),4,2))</f>
        <v>2</v>
      </c>
      <c r="G44" s="71" t="n">
        <f aca="false">E44*F44</f>
        <v>0.066</v>
      </c>
      <c r="H44" s="59"/>
      <c r="I44" s="72" t="str">
        <f aca="false">IF(H44="","",H44-G44)</f>
        <v/>
      </c>
      <c r="J44" s="33"/>
    </row>
    <row r="45" customFormat="false" ht="18" hidden="false" customHeight="true" outlineLevel="0" collapsed="false">
      <c r="A45" s="57" t="n">
        <v>41</v>
      </c>
      <c r="B45" s="64"/>
      <c r="C45" s="6" t="s">
        <v>332</v>
      </c>
      <c r="D45" s="8" t="s">
        <v>333</v>
      </c>
      <c r="E45" s="71" t="n">
        <f aca="false">'Norms &amp; Assumptions'!B43</f>
        <v>2.5</v>
      </c>
      <c r="F45" s="63" t="n">
        <f aca="false">IF(B45="",2,IF(B45&gt;=DATE(2026,4,8),4,2))</f>
        <v>2</v>
      </c>
      <c r="G45" s="71" t="n">
        <f aca="false">E45*F45</f>
        <v>5</v>
      </c>
      <c r="H45" s="59"/>
      <c r="I45" s="72" t="str">
        <f aca="false">IF(H45="","",H45-G45)</f>
        <v/>
      </c>
      <c r="J45" s="33"/>
    </row>
    <row r="46" customFormat="false" ht="18" hidden="false" customHeight="true" outlineLevel="0" collapsed="false">
      <c r="A46" s="57" t="n">
        <v>42</v>
      </c>
      <c r="B46" s="73" t="n">
        <f aca="false">B45</f>
        <v>0</v>
      </c>
      <c r="C46" s="6" t="s">
        <v>81</v>
      </c>
      <c r="D46" s="8" t="s">
        <v>333</v>
      </c>
      <c r="E46" s="71" t="n">
        <f aca="false">'Norms &amp; Assumptions'!B44</f>
        <v>1.2</v>
      </c>
      <c r="F46" s="63" t="n">
        <f aca="false">IF(B45="",2,IF(B45&gt;=DATE(2026,4,8),4,2))</f>
        <v>2</v>
      </c>
      <c r="G46" s="71" t="n">
        <f aca="false">E46*F46</f>
        <v>2.4</v>
      </c>
      <c r="H46" s="59"/>
      <c r="I46" s="72" t="str">
        <f aca="false">IF(H46="","",H46-G46)</f>
        <v/>
      </c>
      <c r="J46" s="33"/>
    </row>
    <row r="47" customFormat="false" ht="18" hidden="false" customHeight="true" outlineLevel="0" collapsed="false">
      <c r="A47" s="57" t="n">
        <v>43</v>
      </c>
      <c r="B47" s="73" t="n">
        <f aca="false">B45</f>
        <v>0</v>
      </c>
      <c r="C47" s="6" t="s">
        <v>334</v>
      </c>
      <c r="D47" s="8" t="s">
        <v>335</v>
      </c>
      <c r="E47" s="71" t="n">
        <f aca="false">'Norms &amp; Assumptions'!B45</f>
        <v>0.5</v>
      </c>
      <c r="F47" s="63" t="n">
        <f aca="false">IF(B45="",2,IF(B45&gt;=DATE(2026,4,8),4,2))</f>
        <v>2</v>
      </c>
      <c r="G47" s="71" t="n">
        <f aca="false">E47*F47</f>
        <v>1</v>
      </c>
      <c r="H47" s="59"/>
      <c r="I47" s="72" t="str">
        <f aca="false">IF(H47="","",H47-G47)</f>
        <v/>
      </c>
      <c r="J47" s="33"/>
    </row>
    <row r="48" customFormat="false" ht="18" hidden="false" customHeight="true" outlineLevel="0" collapsed="false">
      <c r="A48" s="57" t="n">
        <v>44</v>
      </c>
      <c r="B48" s="73" t="n">
        <f aca="false">B45</f>
        <v>0</v>
      </c>
      <c r="C48" s="6" t="s">
        <v>336</v>
      </c>
      <c r="D48" s="8" t="s">
        <v>337</v>
      </c>
      <c r="E48" s="71" t="n">
        <f aca="false">'Norms &amp; Assumptions'!B46</f>
        <v>0.05</v>
      </c>
      <c r="F48" s="63" t="n">
        <f aca="false">IF(B45="",2,IF(B45&gt;=DATE(2026,4,8),4,2))</f>
        <v>2</v>
      </c>
      <c r="G48" s="71" t="n">
        <f aca="false">E48*F48</f>
        <v>0.1</v>
      </c>
      <c r="H48" s="59"/>
      <c r="I48" s="72" t="str">
        <f aca="false">IF(H48="","",H48-G48)</f>
        <v/>
      </c>
      <c r="J48" s="33"/>
    </row>
    <row r="49" customFormat="false" ht="18" hidden="false" customHeight="true" outlineLevel="0" collapsed="false">
      <c r="A49" s="57" t="n">
        <v>45</v>
      </c>
      <c r="B49" s="73" t="n">
        <f aca="false">B45</f>
        <v>0</v>
      </c>
      <c r="C49" s="6" t="s">
        <v>338</v>
      </c>
      <c r="D49" s="8" t="s">
        <v>339</v>
      </c>
      <c r="E49" s="71" t="n">
        <f aca="false">'Norms &amp; Assumptions'!B47</f>
        <v>0.2</v>
      </c>
      <c r="F49" s="63" t="n">
        <f aca="false">IF(B45="",2,IF(B45&gt;=DATE(2026,4,8),4,2))</f>
        <v>2</v>
      </c>
      <c r="G49" s="71" t="n">
        <f aca="false">E49*F49</f>
        <v>0.4</v>
      </c>
      <c r="H49" s="59"/>
      <c r="I49" s="72" t="str">
        <f aca="false">IF(H49="","",H49-G49)</f>
        <v/>
      </c>
      <c r="J49" s="33"/>
    </row>
    <row r="50" customFormat="false" ht="18" hidden="false" customHeight="true" outlineLevel="0" collapsed="false">
      <c r="A50" s="57" t="n">
        <v>46</v>
      </c>
      <c r="B50" s="73" t="n">
        <f aca="false">B45</f>
        <v>0</v>
      </c>
      <c r="C50" s="6" t="s">
        <v>340</v>
      </c>
      <c r="D50" s="8" t="s">
        <v>341</v>
      </c>
      <c r="E50" s="71" t="n">
        <f aca="false">'Norms &amp; Assumptions'!B48</f>
        <v>0.2</v>
      </c>
      <c r="F50" s="63" t="n">
        <f aca="false">IF(B45="",2,IF(B45&gt;=DATE(2026,4,8),4,2))</f>
        <v>2</v>
      </c>
      <c r="G50" s="71" t="n">
        <f aca="false">E50*F50</f>
        <v>0.4</v>
      </c>
      <c r="H50" s="59"/>
      <c r="I50" s="72" t="str">
        <f aca="false">IF(H50="","",H50-G50)</f>
        <v/>
      </c>
      <c r="J50" s="33"/>
    </row>
    <row r="51" customFormat="false" ht="18" hidden="false" customHeight="true" outlineLevel="0" collapsed="false">
      <c r="A51" s="57" t="n">
        <v>47</v>
      </c>
      <c r="B51" s="73" t="n">
        <f aca="false">B45</f>
        <v>0</v>
      </c>
      <c r="C51" s="6" t="s">
        <v>342</v>
      </c>
      <c r="D51" s="8" t="s">
        <v>343</v>
      </c>
      <c r="E51" s="71" t="n">
        <f aca="false">'Norms &amp; Assumptions'!B49</f>
        <v>0.05</v>
      </c>
      <c r="F51" s="63" t="n">
        <f aca="false">IF(B45="",2,IF(B45&gt;=DATE(2026,4,8),4,2))</f>
        <v>2</v>
      </c>
      <c r="G51" s="71" t="n">
        <f aca="false">E51*F51</f>
        <v>0.1</v>
      </c>
      <c r="H51" s="59"/>
      <c r="I51" s="72" t="str">
        <f aca="false">IF(H51="","",H51-G51)</f>
        <v/>
      </c>
      <c r="J51" s="33"/>
    </row>
    <row r="52" customFormat="false" ht="18" hidden="false" customHeight="true" outlineLevel="0" collapsed="false">
      <c r="A52" s="57" t="n">
        <v>48</v>
      </c>
      <c r="B52" s="73" t="n">
        <f aca="false">B45</f>
        <v>0</v>
      </c>
      <c r="C52" s="6" t="s">
        <v>98</v>
      </c>
      <c r="D52" s="8" t="s">
        <v>344</v>
      </c>
      <c r="E52" s="71" t="n">
        <f aca="false">'Norms &amp; Assumptions'!B50</f>
        <v>0.033</v>
      </c>
      <c r="F52" s="63" t="n">
        <f aca="false">IF(B45="",2,IF(B45&gt;=DATE(2026,4,8),4,2))</f>
        <v>2</v>
      </c>
      <c r="G52" s="71" t="n">
        <f aca="false">E52*F52</f>
        <v>0.066</v>
      </c>
      <c r="H52" s="59"/>
      <c r="I52" s="72" t="str">
        <f aca="false">IF(H52="","",H52-G52)</f>
        <v/>
      </c>
      <c r="J52" s="33"/>
    </row>
    <row r="53" customFormat="false" ht="18" hidden="false" customHeight="true" outlineLevel="0" collapsed="false">
      <c r="A53" s="57" t="n">
        <v>49</v>
      </c>
      <c r="B53" s="64"/>
      <c r="C53" s="6" t="s">
        <v>332</v>
      </c>
      <c r="D53" s="8" t="s">
        <v>333</v>
      </c>
      <c r="E53" s="71" t="n">
        <f aca="false">'Norms &amp; Assumptions'!B43</f>
        <v>2.5</v>
      </c>
      <c r="F53" s="63" t="n">
        <f aca="false">IF(B53="",2,IF(B53&gt;=DATE(2026,4,8),4,2))</f>
        <v>2</v>
      </c>
      <c r="G53" s="71" t="n">
        <f aca="false">E53*F53</f>
        <v>5</v>
      </c>
      <c r="H53" s="59"/>
      <c r="I53" s="72" t="str">
        <f aca="false">IF(H53="","",H53-G53)</f>
        <v/>
      </c>
      <c r="J53" s="33"/>
    </row>
    <row r="54" customFormat="false" ht="18" hidden="false" customHeight="true" outlineLevel="0" collapsed="false">
      <c r="A54" s="57" t="n">
        <v>50</v>
      </c>
      <c r="B54" s="73" t="n">
        <f aca="false">B53</f>
        <v>0</v>
      </c>
      <c r="C54" s="6" t="s">
        <v>81</v>
      </c>
      <c r="D54" s="8" t="s">
        <v>333</v>
      </c>
      <c r="E54" s="71" t="n">
        <f aca="false">'Norms &amp; Assumptions'!B44</f>
        <v>1.2</v>
      </c>
      <c r="F54" s="63" t="n">
        <f aca="false">IF(B53="",2,IF(B53&gt;=DATE(2026,4,8),4,2))</f>
        <v>2</v>
      </c>
      <c r="G54" s="71" t="n">
        <f aca="false">E54*F54</f>
        <v>2.4</v>
      </c>
      <c r="H54" s="59"/>
      <c r="I54" s="72" t="str">
        <f aca="false">IF(H54="","",H54-G54)</f>
        <v/>
      </c>
      <c r="J54" s="33"/>
    </row>
    <row r="55" customFormat="false" ht="18" hidden="false" customHeight="true" outlineLevel="0" collapsed="false">
      <c r="A55" s="57" t="n">
        <v>51</v>
      </c>
      <c r="B55" s="73" t="n">
        <f aca="false">B53</f>
        <v>0</v>
      </c>
      <c r="C55" s="6" t="s">
        <v>334</v>
      </c>
      <c r="D55" s="8" t="s">
        <v>335</v>
      </c>
      <c r="E55" s="71" t="n">
        <f aca="false">'Norms &amp; Assumptions'!B45</f>
        <v>0.5</v>
      </c>
      <c r="F55" s="63" t="n">
        <f aca="false">IF(B53="",2,IF(B53&gt;=DATE(2026,4,8),4,2))</f>
        <v>2</v>
      </c>
      <c r="G55" s="71" t="n">
        <f aca="false">E55*F55</f>
        <v>1</v>
      </c>
      <c r="H55" s="59"/>
      <c r="I55" s="72" t="str">
        <f aca="false">IF(H55="","",H55-G55)</f>
        <v/>
      </c>
      <c r="J55" s="33"/>
    </row>
    <row r="56" customFormat="false" ht="18" hidden="false" customHeight="true" outlineLevel="0" collapsed="false">
      <c r="A56" s="57" t="n">
        <v>52</v>
      </c>
      <c r="B56" s="73" t="n">
        <f aca="false">B53</f>
        <v>0</v>
      </c>
      <c r="C56" s="6" t="s">
        <v>336</v>
      </c>
      <c r="D56" s="8" t="s">
        <v>337</v>
      </c>
      <c r="E56" s="71" t="n">
        <f aca="false">'Norms &amp; Assumptions'!B46</f>
        <v>0.05</v>
      </c>
      <c r="F56" s="63" t="n">
        <f aca="false">IF(B53="",2,IF(B53&gt;=DATE(2026,4,8),4,2))</f>
        <v>2</v>
      </c>
      <c r="G56" s="71" t="n">
        <f aca="false">E56*F56</f>
        <v>0.1</v>
      </c>
      <c r="H56" s="59"/>
      <c r="I56" s="72" t="str">
        <f aca="false">IF(H56="","",H56-G56)</f>
        <v/>
      </c>
      <c r="J56" s="33"/>
    </row>
    <row r="57" customFormat="false" ht="18" hidden="false" customHeight="true" outlineLevel="0" collapsed="false">
      <c r="A57" s="57" t="n">
        <v>53</v>
      </c>
      <c r="B57" s="73" t="n">
        <f aca="false">B53</f>
        <v>0</v>
      </c>
      <c r="C57" s="6" t="s">
        <v>338</v>
      </c>
      <c r="D57" s="8" t="s">
        <v>339</v>
      </c>
      <c r="E57" s="71" t="n">
        <f aca="false">'Norms &amp; Assumptions'!B47</f>
        <v>0.2</v>
      </c>
      <c r="F57" s="63" t="n">
        <f aca="false">IF(B53="",2,IF(B53&gt;=DATE(2026,4,8),4,2))</f>
        <v>2</v>
      </c>
      <c r="G57" s="71" t="n">
        <f aca="false">E57*F57</f>
        <v>0.4</v>
      </c>
      <c r="H57" s="59"/>
      <c r="I57" s="72" t="str">
        <f aca="false">IF(H57="","",H57-G57)</f>
        <v/>
      </c>
      <c r="J57" s="33"/>
    </row>
    <row r="58" customFormat="false" ht="18" hidden="false" customHeight="true" outlineLevel="0" collapsed="false">
      <c r="A58" s="57" t="n">
        <v>54</v>
      </c>
      <c r="B58" s="73" t="n">
        <f aca="false">B53</f>
        <v>0</v>
      </c>
      <c r="C58" s="6" t="s">
        <v>340</v>
      </c>
      <c r="D58" s="8" t="s">
        <v>341</v>
      </c>
      <c r="E58" s="71" t="n">
        <f aca="false">'Norms &amp; Assumptions'!B48</f>
        <v>0.2</v>
      </c>
      <c r="F58" s="63" t="n">
        <f aca="false">IF(B53="",2,IF(B53&gt;=DATE(2026,4,8),4,2))</f>
        <v>2</v>
      </c>
      <c r="G58" s="71" t="n">
        <f aca="false">E58*F58</f>
        <v>0.4</v>
      </c>
      <c r="H58" s="59"/>
      <c r="I58" s="72" t="str">
        <f aca="false">IF(H58="","",H58-G58)</f>
        <v/>
      </c>
      <c r="J58" s="33"/>
    </row>
    <row r="59" customFormat="false" ht="18" hidden="false" customHeight="true" outlineLevel="0" collapsed="false">
      <c r="A59" s="57" t="n">
        <v>55</v>
      </c>
      <c r="B59" s="73" t="n">
        <f aca="false">B53</f>
        <v>0</v>
      </c>
      <c r="C59" s="6" t="s">
        <v>342</v>
      </c>
      <c r="D59" s="8" t="s">
        <v>343</v>
      </c>
      <c r="E59" s="71" t="n">
        <f aca="false">'Norms &amp; Assumptions'!B49</f>
        <v>0.05</v>
      </c>
      <c r="F59" s="63" t="n">
        <f aca="false">IF(B53="",2,IF(B53&gt;=DATE(2026,4,8),4,2))</f>
        <v>2</v>
      </c>
      <c r="G59" s="71" t="n">
        <f aca="false">E59*F59</f>
        <v>0.1</v>
      </c>
      <c r="H59" s="59"/>
      <c r="I59" s="72" t="str">
        <f aca="false">IF(H59="","",H59-G59)</f>
        <v/>
      </c>
      <c r="J59" s="33"/>
    </row>
    <row r="60" customFormat="false" ht="18" hidden="false" customHeight="true" outlineLevel="0" collapsed="false">
      <c r="A60" s="57" t="n">
        <v>56</v>
      </c>
      <c r="B60" s="73" t="n">
        <f aca="false">B53</f>
        <v>0</v>
      </c>
      <c r="C60" s="6" t="s">
        <v>98</v>
      </c>
      <c r="D60" s="8" t="s">
        <v>344</v>
      </c>
      <c r="E60" s="71" t="n">
        <f aca="false">'Norms &amp; Assumptions'!B50</f>
        <v>0.033</v>
      </c>
      <c r="F60" s="63" t="n">
        <f aca="false">IF(B53="",2,IF(B53&gt;=DATE(2026,4,8),4,2))</f>
        <v>2</v>
      </c>
      <c r="G60" s="71" t="n">
        <f aca="false">E60*F60</f>
        <v>0.066</v>
      </c>
      <c r="H60" s="59"/>
      <c r="I60" s="72" t="str">
        <f aca="false">IF(H60="","",H60-G60)</f>
        <v/>
      </c>
      <c r="J60" s="33"/>
    </row>
    <row r="61" customFormat="false" ht="18" hidden="false" customHeight="true" outlineLevel="0" collapsed="false">
      <c r="A61" s="57" t="n">
        <v>57</v>
      </c>
      <c r="B61" s="64"/>
      <c r="C61" s="6" t="s">
        <v>332</v>
      </c>
      <c r="D61" s="8" t="s">
        <v>333</v>
      </c>
      <c r="E61" s="71" t="n">
        <f aca="false">'Norms &amp; Assumptions'!B43</f>
        <v>2.5</v>
      </c>
      <c r="F61" s="63" t="n">
        <f aca="false">IF(B61="",2,IF(B61&gt;=DATE(2026,4,8),4,2))</f>
        <v>2</v>
      </c>
      <c r="G61" s="71" t="n">
        <f aca="false">E61*F61</f>
        <v>5</v>
      </c>
      <c r="H61" s="59"/>
      <c r="I61" s="72" t="str">
        <f aca="false">IF(H61="","",H61-G61)</f>
        <v/>
      </c>
      <c r="J61" s="33"/>
    </row>
    <row r="62" customFormat="false" ht="18" hidden="false" customHeight="true" outlineLevel="0" collapsed="false">
      <c r="A62" s="57" t="n">
        <v>58</v>
      </c>
      <c r="B62" s="73" t="n">
        <f aca="false">B61</f>
        <v>0</v>
      </c>
      <c r="C62" s="6" t="s">
        <v>81</v>
      </c>
      <c r="D62" s="8" t="s">
        <v>333</v>
      </c>
      <c r="E62" s="71" t="n">
        <f aca="false">'Norms &amp; Assumptions'!B44</f>
        <v>1.2</v>
      </c>
      <c r="F62" s="63" t="n">
        <f aca="false">IF(B61="",2,IF(B61&gt;=DATE(2026,4,8),4,2))</f>
        <v>2</v>
      </c>
      <c r="G62" s="71" t="n">
        <f aca="false">E62*F62</f>
        <v>2.4</v>
      </c>
      <c r="H62" s="59"/>
      <c r="I62" s="72" t="str">
        <f aca="false">IF(H62="","",H62-G62)</f>
        <v/>
      </c>
      <c r="J62" s="33"/>
    </row>
    <row r="63" customFormat="false" ht="18" hidden="false" customHeight="true" outlineLevel="0" collapsed="false">
      <c r="A63" s="57" t="n">
        <v>59</v>
      </c>
      <c r="B63" s="73" t="n">
        <f aca="false">B61</f>
        <v>0</v>
      </c>
      <c r="C63" s="6" t="s">
        <v>334</v>
      </c>
      <c r="D63" s="8" t="s">
        <v>335</v>
      </c>
      <c r="E63" s="71" t="n">
        <f aca="false">'Norms &amp; Assumptions'!B45</f>
        <v>0.5</v>
      </c>
      <c r="F63" s="63" t="n">
        <f aca="false">IF(B61="",2,IF(B61&gt;=DATE(2026,4,8),4,2))</f>
        <v>2</v>
      </c>
      <c r="G63" s="71" t="n">
        <f aca="false">E63*F63</f>
        <v>1</v>
      </c>
      <c r="H63" s="59"/>
      <c r="I63" s="72" t="str">
        <f aca="false">IF(H63="","",H63-G63)</f>
        <v/>
      </c>
      <c r="J63" s="33"/>
    </row>
    <row r="64" customFormat="false" ht="18" hidden="false" customHeight="true" outlineLevel="0" collapsed="false">
      <c r="A64" s="57" t="n">
        <v>60</v>
      </c>
      <c r="B64" s="73" t="n">
        <f aca="false">B61</f>
        <v>0</v>
      </c>
      <c r="C64" s="6" t="s">
        <v>336</v>
      </c>
      <c r="D64" s="8" t="s">
        <v>337</v>
      </c>
      <c r="E64" s="71" t="n">
        <f aca="false">'Norms &amp; Assumptions'!B46</f>
        <v>0.05</v>
      </c>
      <c r="F64" s="63" t="n">
        <f aca="false">IF(B61="",2,IF(B61&gt;=DATE(2026,4,8),4,2))</f>
        <v>2</v>
      </c>
      <c r="G64" s="71" t="n">
        <f aca="false">E64*F64</f>
        <v>0.1</v>
      </c>
      <c r="H64" s="59"/>
      <c r="I64" s="72" t="str">
        <f aca="false">IF(H64="","",H64-G64)</f>
        <v/>
      </c>
      <c r="J64" s="33"/>
    </row>
    <row r="65" customFormat="false" ht="18" hidden="false" customHeight="true" outlineLevel="0" collapsed="false">
      <c r="A65" s="57" t="n">
        <v>61</v>
      </c>
      <c r="B65" s="73" t="n">
        <f aca="false">B61</f>
        <v>0</v>
      </c>
      <c r="C65" s="6" t="s">
        <v>338</v>
      </c>
      <c r="D65" s="8" t="s">
        <v>339</v>
      </c>
      <c r="E65" s="71" t="n">
        <f aca="false">'Norms &amp; Assumptions'!B47</f>
        <v>0.2</v>
      </c>
      <c r="F65" s="63" t="n">
        <f aca="false">IF(B61="",2,IF(B61&gt;=DATE(2026,4,8),4,2))</f>
        <v>2</v>
      </c>
      <c r="G65" s="71" t="n">
        <f aca="false">E65*F65</f>
        <v>0.4</v>
      </c>
      <c r="H65" s="59"/>
      <c r="I65" s="72" t="str">
        <f aca="false">IF(H65="","",H65-G65)</f>
        <v/>
      </c>
      <c r="J65" s="33"/>
    </row>
    <row r="66" customFormat="false" ht="18" hidden="false" customHeight="true" outlineLevel="0" collapsed="false">
      <c r="A66" s="57" t="n">
        <v>62</v>
      </c>
      <c r="B66" s="73" t="n">
        <f aca="false">B61</f>
        <v>0</v>
      </c>
      <c r="C66" s="6" t="s">
        <v>340</v>
      </c>
      <c r="D66" s="8" t="s">
        <v>341</v>
      </c>
      <c r="E66" s="71" t="n">
        <f aca="false">'Norms &amp; Assumptions'!B48</f>
        <v>0.2</v>
      </c>
      <c r="F66" s="63" t="n">
        <f aca="false">IF(B61="",2,IF(B61&gt;=DATE(2026,4,8),4,2))</f>
        <v>2</v>
      </c>
      <c r="G66" s="71" t="n">
        <f aca="false">E66*F66</f>
        <v>0.4</v>
      </c>
      <c r="H66" s="59"/>
      <c r="I66" s="72" t="str">
        <f aca="false">IF(H66="","",H66-G66)</f>
        <v/>
      </c>
      <c r="J66" s="33"/>
    </row>
    <row r="67" customFormat="false" ht="18" hidden="false" customHeight="true" outlineLevel="0" collapsed="false">
      <c r="A67" s="57" t="n">
        <v>63</v>
      </c>
      <c r="B67" s="73" t="n">
        <f aca="false">B61</f>
        <v>0</v>
      </c>
      <c r="C67" s="6" t="s">
        <v>342</v>
      </c>
      <c r="D67" s="8" t="s">
        <v>343</v>
      </c>
      <c r="E67" s="71" t="n">
        <f aca="false">'Norms &amp; Assumptions'!B49</f>
        <v>0.05</v>
      </c>
      <c r="F67" s="63" t="n">
        <f aca="false">IF(B61="",2,IF(B61&gt;=DATE(2026,4,8),4,2))</f>
        <v>2</v>
      </c>
      <c r="G67" s="71" t="n">
        <f aca="false">E67*F67</f>
        <v>0.1</v>
      </c>
      <c r="H67" s="59"/>
      <c r="I67" s="72" t="str">
        <f aca="false">IF(H67="","",H67-G67)</f>
        <v/>
      </c>
      <c r="J67" s="33"/>
    </row>
    <row r="68" customFormat="false" ht="18" hidden="false" customHeight="true" outlineLevel="0" collapsed="false">
      <c r="A68" s="57" t="n">
        <v>64</v>
      </c>
      <c r="B68" s="73" t="n">
        <f aca="false">B61</f>
        <v>0</v>
      </c>
      <c r="C68" s="6" t="s">
        <v>98</v>
      </c>
      <c r="D68" s="8" t="s">
        <v>344</v>
      </c>
      <c r="E68" s="71" t="n">
        <f aca="false">'Norms &amp; Assumptions'!B50</f>
        <v>0.033</v>
      </c>
      <c r="F68" s="63" t="n">
        <f aca="false">IF(B61="",2,IF(B61&gt;=DATE(2026,4,8),4,2))</f>
        <v>2</v>
      </c>
      <c r="G68" s="71" t="n">
        <f aca="false">E68*F68</f>
        <v>0.066</v>
      </c>
      <c r="H68" s="59"/>
      <c r="I68" s="72" t="str">
        <f aca="false">IF(H68="","",H68-G68)</f>
        <v/>
      </c>
      <c r="J68" s="33"/>
    </row>
    <row r="69" customFormat="false" ht="18" hidden="false" customHeight="true" outlineLevel="0" collapsed="false">
      <c r="A69" s="57" t="n">
        <v>65</v>
      </c>
      <c r="B69" s="64"/>
      <c r="C69" s="6" t="s">
        <v>332</v>
      </c>
      <c r="D69" s="8" t="s">
        <v>333</v>
      </c>
      <c r="E69" s="71" t="n">
        <f aca="false">'Norms &amp; Assumptions'!B43</f>
        <v>2.5</v>
      </c>
      <c r="F69" s="63" t="n">
        <f aca="false">IF(B69="",2,IF(B69&gt;=DATE(2026,4,8),4,2))</f>
        <v>2</v>
      </c>
      <c r="G69" s="71" t="n">
        <f aca="false">E69*F69</f>
        <v>5</v>
      </c>
      <c r="H69" s="59"/>
      <c r="I69" s="72" t="str">
        <f aca="false">IF(H69="","",H69-G69)</f>
        <v/>
      </c>
      <c r="J69" s="33"/>
    </row>
    <row r="70" customFormat="false" ht="18" hidden="false" customHeight="true" outlineLevel="0" collapsed="false">
      <c r="A70" s="57" t="n">
        <v>66</v>
      </c>
      <c r="B70" s="73" t="n">
        <f aca="false">B69</f>
        <v>0</v>
      </c>
      <c r="C70" s="6" t="s">
        <v>81</v>
      </c>
      <c r="D70" s="8" t="s">
        <v>333</v>
      </c>
      <c r="E70" s="71" t="n">
        <f aca="false">'Norms &amp; Assumptions'!B44</f>
        <v>1.2</v>
      </c>
      <c r="F70" s="63" t="n">
        <f aca="false">IF(B69="",2,IF(B69&gt;=DATE(2026,4,8),4,2))</f>
        <v>2</v>
      </c>
      <c r="G70" s="71" t="n">
        <f aca="false">E70*F70</f>
        <v>2.4</v>
      </c>
      <c r="H70" s="59"/>
      <c r="I70" s="72" t="str">
        <f aca="false">IF(H70="","",H70-G70)</f>
        <v/>
      </c>
      <c r="J70" s="33"/>
    </row>
    <row r="71" customFormat="false" ht="18" hidden="false" customHeight="true" outlineLevel="0" collapsed="false">
      <c r="A71" s="57" t="n">
        <v>67</v>
      </c>
      <c r="B71" s="73" t="n">
        <f aca="false">B69</f>
        <v>0</v>
      </c>
      <c r="C71" s="6" t="s">
        <v>334</v>
      </c>
      <c r="D71" s="8" t="s">
        <v>335</v>
      </c>
      <c r="E71" s="71" t="n">
        <f aca="false">'Norms &amp; Assumptions'!B45</f>
        <v>0.5</v>
      </c>
      <c r="F71" s="63" t="n">
        <f aca="false">IF(B69="",2,IF(B69&gt;=DATE(2026,4,8),4,2))</f>
        <v>2</v>
      </c>
      <c r="G71" s="71" t="n">
        <f aca="false">E71*F71</f>
        <v>1</v>
      </c>
      <c r="H71" s="59"/>
      <c r="I71" s="72" t="str">
        <f aca="false">IF(H71="","",H71-G71)</f>
        <v/>
      </c>
      <c r="J71" s="33"/>
    </row>
    <row r="72" customFormat="false" ht="18" hidden="false" customHeight="true" outlineLevel="0" collapsed="false">
      <c r="A72" s="57" t="n">
        <v>68</v>
      </c>
      <c r="B72" s="73" t="n">
        <f aca="false">B69</f>
        <v>0</v>
      </c>
      <c r="C72" s="6" t="s">
        <v>336</v>
      </c>
      <c r="D72" s="8" t="s">
        <v>337</v>
      </c>
      <c r="E72" s="71" t="n">
        <f aca="false">'Norms &amp; Assumptions'!B46</f>
        <v>0.05</v>
      </c>
      <c r="F72" s="63" t="n">
        <f aca="false">IF(B69="",2,IF(B69&gt;=DATE(2026,4,8),4,2))</f>
        <v>2</v>
      </c>
      <c r="G72" s="71" t="n">
        <f aca="false">E72*F72</f>
        <v>0.1</v>
      </c>
      <c r="H72" s="59"/>
      <c r="I72" s="72" t="str">
        <f aca="false">IF(H72="","",H72-G72)</f>
        <v/>
      </c>
      <c r="J72" s="33"/>
    </row>
    <row r="73" customFormat="false" ht="18" hidden="false" customHeight="true" outlineLevel="0" collapsed="false">
      <c r="A73" s="57" t="n">
        <v>69</v>
      </c>
      <c r="B73" s="73" t="n">
        <f aca="false">B69</f>
        <v>0</v>
      </c>
      <c r="C73" s="6" t="s">
        <v>338</v>
      </c>
      <c r="D73" s="8" t="s">
        <v>339</v>
      </c>
      <c r="E73" s="71" t="n">
        <f aca="false">'Norms &amp; Assumptions'!B47</f>
        <v>0.2</v>
      </c>
      <c r="F73" s="63" t="n">
        <f aca="false">IF(B69="",2,IF(B69&gt;=DATE(2026,4,8),4,2))</f>
        <v>2</v>
      </c>
      <c r="G73" s="71" t="n">
        <f aca="false">E73*F73</f>
        <v>0.4</v>
      </c>
      <c r="H73" s="59"/>
      <c r="I73" s="72" t="str">
        <f aca="false">IF(H73="","",H73-G73)</f>
        <v/>
      </c>
      <c r="J73" s="33"/>
    </row>
    <row r="74" customFormat="false" ht="18" hidden="false" customHeight="true" outlineLevel="0" collapsed="false">
      <c r="A74" s="57" t="n">
        <v>70</v>
      </c>
      <c r="B74" s="73" t="n">
        <f aca="false">B69</f>
        <v>0</v>
      </c>
      <c r="C74" s="6" t="s">
        <v>340</v>
      </c>
      <c r="D74" s="8" t="s">
        <v>341</v>
      </c>
      <c r="E74" s="71" t="n">
        <f aca="false">'Norms &amp; Assumptions'!B48</f>
        <v>0.2</v>
      </c>
      <c r="F74" s="63" t="n">
        <f aca="false">IF(B69="",2,IF(B69&gt;=DATE(2026,4,8),4,2))</f>
        <v>2</v>
      </c>
      <c r="G74" s="71" t="n">
        <f aca="false">E74*F74</f>
        <v>0.4</v>
      </c>
      <c r="H74" s="59"/>
      <c r="I74" s="72" t="str">
        <f aca="false">IF(H74="","",H74-G74)</f>
        <v/>
      </c>
      <c r="J74" s="33"/>
    </row>
    <row r="75" customFormat="false" ht="18" hidden="false" customHeight="true" outlineLevel="0" collapsed="false">
      <c r="A75" s="57" t="n">
        <v>71</v>
      </c>
      <c r="B75" s="73" t="n">
        <f aca="false">B69</f>
        <v>0</v>
      </c>
      <c r="C75" s="6" t="s">
        <v>342</v>
      </c>
      <c r="D75" s="8" t="s">
        <v>343</v>
      </c>
      <c r="E75" s="71" t="n">
        <f aca="false">'Norms &amp; Assumptions'!B49</f>
        <v>0.05</v>
      </c>
      <c r="F75" s="63" t="n">
        <f aca="false">IF(B69="",2,IF(B69&gt;=DATE(2026,4,8),4,2))</f>
        <v>2</v>
      </c>
      <c r="G75" s="71" t="n">
        <f aca="false">E75*F75</f>
        <v>0.1</v>
      </c>
      <c r="H75" s="59"/>
      <c r="I75" s="72" t="str">
        <f aca="false">IF(H75="","",H75-G75)</f>
        <v/>
      </c>
      <c r="J75" s="33"/>
    </row>
    <row r="76" customFormat="false" ht="18" hidden="false" customHeight="true" outlineLevel="0" collapsed="false">
      <c r="A76" s="57" t="n">
        <v>72</v>
      </c>
      <c r="B76" s="73" t="n">
        <f aca="false">B69</f>
        <v>0</v>
      </c>
      <c r="C76" s="6" t="s">
        <v>98</v>
      </c>
      <c r="D76" s="8" t="s">
        <v>344</v>
      </c>
      <c r="E76" s="71" t="n">
        <f aca="false">'Norms &amp; Assumptions'!B50</f>
        <v>0.033</v>
      </c>
      <c r="F76" s="63" t="n">
        <f aca="false">IF(B69="",2,IF(B69&gt;=DATE(2026,4,8),4,2))</f>
        <v>2</v>
      </c>
      <c r="G76" s="71" t="n">
        <f aca="false">E76*F76</f>
        <v>0.066</v>
      </c>
      <c r="H76" s="59"/>
      <c r="I76" s="72" t="str">
        <f aca="false">IF(H76="","",H76-G76)</f>
        <v/>
      </c>
      <c r="J76" s="33"/>
    </row>
    <row r="77" customFormat="false" ht="18" hidden="false" customHeight="true" outlineLevel="0" collapsed="false">
      <c r="A77" s="57" t="n">
        <v>73</v>
      </c>
      <c r="B77" s="64"/>
      <c r="C77" s="6" t="s">
        <v>332</v>
      </c>
      <c r="D77" s="8" t="s">
        <v>333</v>
      </c>
      <c r="E77" s="71" t="n">
        <f aca="false">'Norms &amp; Assumptions'!B43</f>
        <v>2.5</v>
      </c>
      <c r="F77" s="63" t="n">
        <f aca="false">IF(B77="",2,IF(B77&gt;=DATE(2026,4,8),4,2))</f>
        <v>2</v>
      </c>
      <c r="G77" s="71" t="n">
        <f aca="false">E77*F77</f>
        <v>5</v>
      </c>
      <c r="H77" s="59"/>
      <c r="I77" s="72" t="str">
        <f aca="false">IF(H77="","",H77-G77)</f>
        <v/>
      </c>
      <c r="J77" s="33"/>
    </row>
    <row r="78" customFormat="false" ht="18" hidden="false" customHeight="true" outlineLevel="0" collapsed="false">
      <c r="A78" s="57" t="n">
        <v>74</v>
      </c>
      <c r="B78" s="73" t="n">
        <f aca="false">B77</f>
        <v>0</v>
      </c>
      <c r="C78" s="6" t="s">
        <v>81</v>
      </c>
      <c r="D78" s="8" t="s">
        <v>333</v>
      </c>
      <c r="E78" s="71" t="n">
        <f aca="false">'Norms &amp; Assumptions'!B44</f>
        <v>1.2</v>
      </c>
      <c r="F78" s="63" t="n">
        <f aca="false">IF(B77="",2,IF(B77&gt;=DATE(2026,4,8),4,2))</f>
        <v>2</v>
      </c>
      <c r="G78" s="71" t="n">
        <f aca="false">E78*F78</f>
        <v>2.4</v>
      </c>
      <c r="H78" s="59"/>
      <c r="I78" s="72" t="str">
        <f aca="false">IF(H78="","",H78-G78)</f>
        <v/>
      </c>
      <c r="J78" s="33"/>
    </row>
    <row r="79" customFormat="false" ht="18" hidden="false" customHeight="true" outlineLevel="0" collapsed="false">
      <c r="A79" s="57" t="n">
        <v>75</v>
      </c>
      <c r="B79" s="73" t="n">
        <f aca="false">B77</f>
        <v>0</v>
      </c>
      <c r="C79" s="6" t="s">
        <v>334</v>
      </c>
      <c r="D79" s="8" t="s">
        <v>335</v>
      </c>
      <c r="E79" s="71" t="n">
        <f aca="false">'Norms &amp; Assumptions'!B45</f>
        <v>0.5</v>
      </c>
      <c r="F79" s="63" t="n">
        <f aca="false">IF(B77="",2,IF(B77&gt;=DATE(2026,4,8),4,2))</f>
        <v>2</v>
      </c>
      <c r="G79" s="71" t="n">
        <f aca="false">E79*F79</f>
        <v>1</v>
      </c>
      <c r="H79" s="59"/>
      <c r="I79" s="72" t="str">
        <f aca="false">IF(H79="","",H79-G79)</f>
        <v/>
      </c>
      <c r="J79" s="33"/>
    </row>
    <row r="80" customFormat="false" ht="18" hidden="false" customHeight="true" outlineLevel="0" collapsed="false">
      <c r="A80" s="57" t="n">
        <v>76</v>
      </c>
      <c r="B80" s="73" t="n">
        <f aca="false">B77</f>
        <v>0</v>
      </c>
      <c r="C80" s="6" t="s">
        <v>336</v>
      </c>
      <c r="D80" s="8" t="s">
        <v>337</v>
      </c>
      <c r="E80" s="71" t="n">
        <f aca="false">'Norms &amp; Assumptions'!B46</f>
        <v>0.05</v>
      </c>
      <c r="F80" s="63" t="n">
        <f aca="false">IF(B77="",2,IF(B77&gt;=DATE(2026,4,8),4,2))</f>
        <v>2</v>
      </c>
      <c r="G80" s="71" t="n">
        <f aca="false">E80*F80</f>
        <v>0.1</v>
      </c>
      <c r="H80" s="59"/>
      <c r="I80" s="72" t="str">
        <f aca="false">IF(H80="","",H80-G80)</f>
        <v/>
      </c>
      <c r="J80" s="33"/>
    </row>
    <row r="81" customFormat="false" ht="18" hidden="false" customHeight="true" outlineLevel="0" collapsed="false">
      <c r="A81" s="57" t="n">
        <v>77</v>
      </c>
      <c r="B81" s="73" t="n">
        <f aca="false">B77</f>
        <v>0</v>
      </c>
      <c r="C81" s="6" t="s">
        <v>338</v>
      </c>
      <c r="D81" s="8" t="s">
        <v>339</v>
      </c>
      <c r="E81" s="71" t="n">
        <f aca="false">'Norms &amp; Assumptions'!B47</f>
        <v>0.2</v>
      </c>
      <c r="F81" s="63" t="n">
        <f aca="false">IF(B77="",2,IF(B77&gt;=DATE(2026,4,8),4,2))</f>
        <v>2</v>
      </c>
      <c r="G81" s="71" t="n">
        <f aca="false">E81*F81</f>
        <v>0.4</v>
      </c>
      <c r="H81" s="59"/>
      <c r="I81" s="72" t="str">
        <f aca="false">IF(H81="","",H81-G81)</f>
        <v/>
      </c>
      <c r="J81" s="33"/>
    </row>
    <row r="82" customFormat="false" ht="18" hidden="false" customHeight="true" outlineLevel="0" collapsed="false">
      <c r="A82" s="57" t="n">
        <v>78</v>
      </c>
      <c r="B82" s="73" t="n">
        <f aca="false">B77</f>
        <v>0</v>
      </c>
      <c r="C82" s="6" t="s">
        <v>340</v>
      </c>
      <c r="D82" s="8" t="s">
        <v>341</v>
      </c>
      <c r="E82" s="71" t="n">
        <f aca="false">'Norms &amp; Assumptions'!B48</f>
        <v>0.2</v>
      </c>
      <c r="F82" s="63" t="n">
        <f aca="false">IF(B77="",2,IF(B77&gt;=DATE(2026,4,8),4,2))</f>
        <v>2</v>
      </c>
      <c r="G82" s="71" t="n">
        <f aca="false">E82*F82</f>
        <v>0.4</v>
      </c>
      <c r="H82" s="59"/>
      <c r="I82" s="72" t="str">
        <f aca="false">IF(H82="","",H82-G82)</f>
        <v/>
      </c>
      <c r="J82" s="33"/>
    </row>
    <row r="83" customFormat="false" ht="18" hidden="false" customHeight="true" outlineLevel="0" collapsed="false">
      <c r="A83" s="57" t="n">
        <v>79</v>
      </c>
      <c r="B83" s="73" t="n">
        <f aca="false">B77</f>
        <v>0</v>
      </c>
      <c r="C83" s="6" t="s">
        <v>342</v>
      </c>
      <c r="D83" s="8" t="s">
        <v>343</v>
      </c>
      <c r="E83" s="71" t="n">
        <f aca="false">'Norms &amp; Assumptions'!B49</f>
        <v>0.05</v>
      </c>
      <c r="F83" s="63" t="n">
        <f aca="false">IF(B77="",2,IF(B77&gt;=DATE(2026,4,8),4,2))</f>
        <v>2</v>
      </c>
      <c r="G83" s="71" t="n">
        <f aca="false">E83*F83</f>
        <v>0.1</v>
      </c>
      <c r="H83" s="59"/>
      <c r="I83" s="72" t="str">
        <f aca="false">IF(H83="","",H83-G83)</f>
        <v/>
      </c>
      <c r="J83" s="33"/>
    </row>
    <row r="84" customFormat="false" ht="18" hidden="false" customHeight="true" outlineLevel="0" collapsed="false">
      <c r="A84" s="57" t="n">
        <v>80</v>
      </c>
      <c r="B84" s="73" t="n">
        <f aca="false">B77</f>
        <v>0</v>
      </c>
      <c r="C84" s="6" t="s">
        <v>98</v>
      </c>
      <c r="D84" s="8" t="s">
        <v>344</v>
      </c>
      <c r="E84" s="71" t="n">
        <f aca="false">'Norms &amp; Assumptions'!B50</f>
        <v>0.033</v>
      </c>
      <c r="F84" s="63" t="n">
        <f aca="false">IF(B77="",2,IF(B77&gt;=DATE(2026,4,8),4,2))</f>
        <v>2</v>
      </c>
      <c r="G84" s="71" t="n">
        <f aca="false">E84*F84</f>
        <v>0.066</v>
      </c>
      <c r="H84" s="59"/>
      <c r="I84" s="72" t="str">
        <f aca="false">IF(H84="","",H84-G84)</f>
        <v/>
      </c>
      <c r="J84" s="33"/>
    </row>
    <row r="85" customFormat="false" ht="18" hidden="false" customHeight="true" outlineLevel="0" collapsed="false">
      <c r="A85" s="57" t="n">
        <v>81</v>
      </c>
      <c r="B85" s="64"/>
      <c r="C85" s="6" t="s">
        <v>332</v>
      </c>
      <c r="D85" s="8" t="s">
        <v>333</v>
      </c>
      <c r="E85" s="71" t="n">
        <f aca="false">'Norms &amp; Assumptions'!B43</f>
        <v>2.5</v>
      </c>
      <c r="F85" s="63" t="n">
        <f aca="false">IF(B85="",2,IF(B85&gt;=DATE(2026,4,8),4,2))</f>
        <v>2</v>
      </c>
      <c r="G85" s="71" t="n">
        <f aca="false">E85*F85</f>
        <v>5</v>
      </c>
      <c r="H85" s="59"/>
      <c r="I85" s="72" t="str">
        <f aca="false">IF(H85="","",H85-G85)</f>
        <v/>
      </c>
      <c r="J85" s="33"/>
    </row>
    <row r="86" customFormat="false" ht="18" hidden="false" customHeight="true" outlineLevel="0" collapsed="false">
      <c r="A86" s="57" t="n">
        <v>82</v>
      </c>
      <c r="B86" s="73" t="n">
        <f aca="false">B85</f>
        <v>0</v>
      </c>
      <c r="C86" s="6" t="s">
        <v>81</v>
      </c>
      <c r="D86" s="8" t="s">
        <v>333</v>
      </c>
      <c r="E86" s="71" t="n">
        <f aca="false">'Norms &amp; Assumptions'!B44</f>
        <v>1.2</v>
      </c>
      <c r="F86" s="63" t="n">
        <f aca="false">IF(B85="",2,IF(B85&gt;=DATE(2026,4,8),4,2))</f>
        <v>2</v>
      </c>
      <c r="G86" s="71" t="n">
        <f aca="false">E86*F86</f>
        <v>2.4</v>
      </c>
      <c r="H86" s="59"/>
      <c r="I86" s="72" t="str">
        <f aca="false">IF(H86="","",H86-G86)</f>
        <v/>
      </c>
      <c r="J86" s="33"/>
    </row>
    <row r="87" customFormat="false" ht="18" hidden="false" customHeight="true" outlineLevel="0" collapsed="false">
      <c r="A87" s="57" t="n">
        <v>83</v>
      </c>
      <c r="B87" s="73" t="n">
        <f aca="false">B85</f>
        <v>0</v>
      </c>
      <c r="C87" s="6" t="s">
        <v>334</v>
      </c>
      <c r="D87" s="8" t="s">
        <v>335</v>
      </c>
      <c r="E87" s="71" t="n">
        <f aca="false">'Norms &amp; Assumptions'!B45</f>
        <v>0.5</v>
      </c>
      <c r="F87" s="63" t="n">
        <f aca="false">IF(B85="",2,IF(B85&gt;=DATE(2026,4,8),4,2))</f>
        <v>2</v>
      </c>
      <c r="G87" s="71" t="n">
        <f aca="false">E87*F87</f>
        <v>1</v>
      </c>
      <c r="H87" s="59"/>
      <c r="I87" s="72" t="str">
        <f aca="false">IF(H87="","",H87-G87)</f>
        <v/>
      </c>
      <c r="J87" s="33"/>
    </row>
    <row r="88" customFormat="false" ht="18" hidden="false" customHeight="true" outlineLevel="0" collapsed="false">
      <c r="A88" s="57" t="n">
        <v>84</v>
      </c>
      <c r="B88" s="73" t="n">
        <f aca="false">B85</f>
        <v>0</v>
      </c>
      <c r="C88" s="6" t="s">
        <v>336</v>
      </c>
      <c r="D88" s="8" t="s">
        <v>337</v>
      </c>
      <c r="E88" s="71" t="n">
        <f aca="false">'Norms &amp; Assumptions'!B46</f>
        <v>0.05</v>
      </c>
      <c r="F88" s="63" t="n">
        <f aca="false">IF(B85="",2,IF(B85&gt;=DATE(2026,4,8),4,2))</f>
        <v>2</v>
      </c>
      <c r="G88" s="71" t="n">
        <f aca="false">E88*F88</f>
        <v>0.1</v>
      </c>
      <c r="H88" s="59"/>
      <c r="I88" s="72" t="str">
        <f aca="false">IF(H88="","",H88-G88)</f>
        <v/>
      </c>
      <c r="J88" s="33"/>
    </row>
    <row r="89" customFormat="false" ht="18" hidden="false" customHeight="true" outlineLevel="0" collapsed="false">
      <c r="A89" s="57" t="n">
        <v>85</v>
      </c>
      <c r="B89" s="73" t="n">
        <f aca="false">B85</f>
        <v>0</v>
      </c>
      <c r="C89" s="6" t="s">
        <v>338</v>
      </c>
      <c r="D89" s="8" t="s">
        <v>339</v>
      </c>
      <c r="E89" s="71" t="n">
        <f aca="false">'Norms &amp; Assumptions'!B47</f>
        <v>0.2</v>
      </c>
      <c r="F89" s="63" t="n">
        <f aca="false">IF(B85="",2,IF(B85&gt;=DATE(2026,4,8),4,2))</f>
        <v>2</v>
      </c>
      <c r="G89" s="71" t="n">
        <f aca="false">E89*F89</f>
        <v>0.4</v>
      </c>
      <c r="H89" s="59"/>
      <c r="I89" s="72" t="str">
        <f aca="false">IF(H89="","",H89-G89)</f>
        <v/>
      </c>
      <c r="J89" s="33"/>
    </row>
    <row r="90" customFormat="false" ht="18" hidden="false" customHeight="true" outlineLevel="0" collapsed="false">
      <c r="A90" s="57" t="n">
        <v>86</v>
      </c>
      <c r="B90" s="73" t="n">
        <f aca="false">B85</f>
        <v>0</v>
      </c>
      <c r="C90" s="6" t="s">
        <v>340</v>
      </c>
      <c r="D90" s="8" t="s">
        <v>341</v>
      </c>
      <c r="E90" s="71" t="n">
        <f aca="false">'Norms &amp; Assumptions'!B48</f>
        <v>0.2</v>
      </c>
      <c r="F90" s="63" t="n">
        <f aca="false">IF(B85="",2,IF(B85&gt;=DATE(2026,4,8),4,2))</f>
        <v>2</v>
      </c>
      <c r="G90" s="71" t="n">
        <f aca="false">E90*F90</f>
        <v>0.4</v>
      </c>
      <c r="H90" s="59"/>
      <c r="I90" s="72" t="str">
        <f aca="false">IF(H90="","",H90-G90)</f>
        <v/>
      </c>
      <c r="J90" s="33"/>
    </row>
    <row r="91" customFormat="false" ht="18" hidden="false" customHeight="true" outlineLevel="0" collapsed="false">
      <c r="A91" s="57" t="n">
        <v>87</v>
      </c>
      <c r="B91" s="73" t="n">
        <f aca="false">B85</f>
        <v>0</v>
      </c>
      <c r="C91" s="6" t="s">
        <v>342</v>
      </c>
      <c r="D91" s="8" t="s">
        <v>343</v>
      </c>
      <c r="E91" s="71" t="n">
        <f aca="false">'Norms &amp; Assumptions'!B49</f>
        <v>0.05</v>
      </c>
      <c r="F91" s="63" t="n">
        <f aca="false">IF(B85="",2,IF(B85&gt;=DATE(2026,4,8),4,2))</f>
        <v>2</v>
      </c>
      <c r="G91" s="71" t="n">
        <f aca="false">E91*F91</f>
        <v>0.1</v>
      </c>
      <c r="H91" s="59"/>
      <c r="I91" s="72" t="str">
        <f aca="false">IF(H91="","",H91-G91)</f>
        <v/>
      </c>
      <c r="J91" s="33"/>
    </row>
    <row r="92" customFormat="false" ht="18" hidden="false" customHeight="true" outlineLevel="0" collapsed="false">
      <c r="A92" s="57" t="n">
        <v>88</v>
      </c>
      <c r="B92" s="73" t="n">
        <f aca="false">B85</f>
        <v>0</v>
      </c>
      <c r="C92" s="6" t="s">
        <v>98</v>
      </c>
      <c r="D92" s="8" t="s">
        <v>344</v>
      </c>
      <c r="E92" s="71" t="n">
        <f aca="false">'Norms &amp; Assumptions'!B50</f>
        <v>0.033</v>
      </c>
      <c r="F92" s="63" t="n">
        <f aca="false">IF(B85="",2,IF(B85&gt;=DATE(2026,4,8),4,2))</f>
        <v>2</v>
      </c>
      <c r="G92" s="71" t="n">
        <f aca="false">E92*F92</f>
        <v>0.066</v>
      </c>
      <c r="H92" s="59"/>
      <c r="I92" s="72" t="str">
        <f aca="false">IF(H92="","",H92-G92)</f>
        <v/>
      </c>
      <c r="J92" s="33"/>
    </row>
    <row r="93" customFormat="false" ht="18" hidden="false" customHeight="true" outlineLevel="0" collapsed="false">
      <c r="A93" s="57" t="n">
        <v>89</v>
      </c>
      <c r="B93" s="64"/>
      <c r="C93" s="6" t="s">
        <v>332</v>
      </c>
      <c r="D93" s="8" t="s">
        <v>333</v>
      </c>
      <c r="E93" s="71" t="n">
        <f aca="false">'Norms &amp; Assumptions'!B43</f>
        <v>2.5</v>
      </c>
      <c r="F93" s="63" t="n">
        <f aca="false">IF(B93="",2,IF(B93&gt;=DATE(2026,4,8),4,2))</f>
        <v>2</v>
      </c>
      <c r="G93" s="71" t="n">
        <f aca="false">E93*F93</f>
        <v>5</v>
      </c>
      <c r="H93" s="59"/>
      <c r="I93" s="72" t="str">
        <f aca="false">IF(H93="","",H93-G93)</f>
        <v/>
      </c>
      <c r="J93" s="33"/>
    </row>
    <row r="94" customFormat="false" ht="18" hidden="false" customHeight="true" outlineLevel="0" collapsed="false">
      <c r="A94" s="57" t="n">
        <v>90</v>
      </c>
      <c r="B94" s="73" t="n">
        <f aca="false">B93</f>
        <v>0</v>
      </c>
      <c r="C94" s="6" t="s">
        <v>81</v>
      </c>
      <c r="D94" s="8" t="s">
        <v>333</v>
      </c>
      <c r="E94" s="71" t="n">
        <f aca="false">'Norms &amp; Assumptions'!B44</f>
        <v>1.2</v>
      </c>
      <c r="F94" s="63" t="n">
        <f aca="false">IF(B93="",2,IF(B93&gt;=DATE(2026,4,8),4,2))</f>
        <v>2</v>
      </c>
      <c r="G94" s="71" t="n">
        <f aca="false">E94*F94</f>
        <v>2.4</v>
      </c>
      <c r="H94" s="59"/>
      <c r="I94" s="72" t="str">
        <f aca="false">IF(H94="","",H94-G94)</f>
        <v/>
      </c>
      <c r="J94" s="33"/>
    </row>
    <row r="95" customFormat="false" ht="18" hidden="false" customHeight="true" outlineLevel="0" collapsed="false">
      <c r="A95" s="57" t="n">
        <v>91</v>
      </c>
      <c r="B95" s="73" t="n">
        <f aca="false">B93</f>
        <v>0</v>
      </c>
      <c r="C95" s="6" t="s">
        <v>334</v>
      </c>
      <c r="D95" s="8" t="s">
        <v>335</v>
      </c>
      <c r="E95" s="71" t="n">
        <f aca="false">'Norms &amp; Assumptions'!B45</f>
        <v>0.5</v>
      </c>
      <c r="F95" s="63" t="n">
        <f aca="false">IF(B93="",2,IF(B93&gt;=DATE(2026,4,8),4,2))</f>
        <v>2</v>
      </c>
      <c r="G95" s="71" t="n">
        <f aca="false">E95*F95</f>
        <v>1</v>
      </c>
      <c r="H95" s="59"/>
      <c r="I95" s="72" t="str">
        <f aca="false">IF(H95="","",H95-G95)</f>
        <v/>
      </c>
      <c r="J95" s="33"/>
    </row>
    <row r="96" customFormat="false" ht="18" hidden="false" customHeight="true" outlineLevel="0" collapsed="false">
      <c r="A96" s="57" t="n">
        <v>92</v>
      </c>
      <c r="B96" s="73" t="n">
        <f aca="false">B93</f>
        <v>0</v>
      </c>
      <c r="C96" s="6" t="s">
        <v>336</v>
      </c>
      <c r="D96" s="8" t="s">
        <v>337</v>
      </c>
      <c r="E96" s="71" t="n">
        <f aca="false">'Norms &amp; Assumptions'!B46</f>
        <v>0.05</v>
      </c>
      <c r="F96" s="63" t="n">
        <f aca="false">IF(B93="",2,IF(B93&gt;=DATE(2026,4,8),4,2))</f>
        <v>2</v>
      </c>
      <c r="G96" s="71" t="n">
        <f aca="false">E96*F96</f>
        <v>0.1</v>
      </c>
      <c r="H96" s="59"/>
      <c r="I96" s="72" t="str">
        <f aca="false">IF(H96="","",H96-G96)</f>
        <v/>
      </c>
      <c r="J96" s="33"/>
    </row>
    <row r="97" customFormat="false" ht="18" hidden="false" customHeight="true" outlineLevel="0" collapsed="false">
      <c r="A97" s="57" t="n">
        <v>93</v>
      </c>
      <c r="B97" s="73" t="n">
        <f aca="false">B93</f>
        <v>0</v>
      </c>
      <c r="C97" s="6" t="s">
        <v>338</v>
      </c>
      <c r="D97" s="8" t="s">
        <v>339</v>
      </c>
      <c r="E97" s="71" t="n">
        <f aca="false">'Norms &amp; Assumptions'!B47</f>
        <v>0.2</v>
      </c>
      <c r="F97" s="63" t="n">
        <f aca="false">IF(B93="",2,IF(B93&gt;=DATE(2026,4,8),4,2))</f>
        <v>2</v>
      </c>
      <c r="G97" s="71" t="n">
        <f aca="false">E97*F97</f>
        <v>0.4</v>
      </c>
      <c r="H97" s="59"/>
      <c r="I97" s="72" t="str">
        <f aca="false">IF(H97="","",H97-G97)</f>
        <v/>
      </c>
      <c r="J97" s="33"/>
    </row>
    <row r="98" customFormat="false" ht="18" hidden="false" customHeight="true" outlineLevel="0" collapsed="false">
      <c r="A98" s="57" t="n">
        <v>94</v>
      </c>
      <c r="B98" s="73" t="n">
        <f aca="false">B93</f>
        <v>0</v>
      </c>
      <c r="C98" s="6" t="s">
        <v>340</v>
      </c>
      <c r="D98" s="8" t="s">
        <v>341</v>
      </c>
      <c r="E98" s="71" t="n">
        <f aca="false">'Norms &amp; Assumptions'!B48</f>
        <v>0.2</v>
      </c>
      <c r="F98" s="63" t="n">
        <f aca="false">IF(B93="",2,IF(B93&gt;=DATE(2026,4,8),4,2))</f>
        <v>2</v>
      </c>
      <c r="G98" s="71" t="n">
        <f aca="false">E98*F98</f>
        <v>0.4</v>
      </c>
      <c r="H98" s="59"/>
      <c r="I98" s="72" t="str">
        <f aca="false">IF(H98="","",H98-G98)</f>
        <v/>
      </c>
      <c r="J98" s="33"/>
    </row>
    <row r="99" customFormat="false" ht="18" hidden="false" customHeight="true" outlineLevel="0" collapsed="false">
      <c r="A99" s="57" t="n">
        <v>95</v>
      </c>
      <c r="B99" s="73" t="n">
        <f aca="false">B93</f>
        <v>0</v>
      </c>
      <c r="C99" s="6" t="s">
        <v>342</v>
      </c>
      <c r="D99" s="8" t="s">
        <v>343</v>
      </c>
      <c r="E99" s="71" t="n">
        <f aca="false">'Norms &amp; Assumptions'!B49</f>
        <v>0.05</v>
      </c>
      <c r="F99" s="63" t="n">
        <f aca="false">IF(B93="",2,IF(B93&gt;=DATE(2026,4,8),4,2))</f>
        <v>2</v>
      </c>
      <c r="G99" s="71" t="n">
        <f aca="false">E99*F99</f>
        <v>0.1</v>
      </c>
      <c r="H99" s="59"/>
      <c r="I99" s="72" t="str">
        <f aca="false">IF(H99="","",H99-G99)</f>
        <v/>
      </c>
      <c r="J99" s="33"/>
    </row>
    <row r="100" customFormat="false" ht="18" hidden="false" customHeight="true" outlineLevel="0" collapsed="false">
      <c r="A100" s="57" t="n">
        <v>96</v>
      </c>
      <c r="B100" s="73" t="n">
        <f aca="false">B93</f>
        <v>0</v>
      </c>
      <c r="C100" s="6" t="s">
        <v>98</v>
      </c>
      <c r="D100" s="8" t="s">
        <v>344</v>
      </c>
      <c r="E100" s="71" t="n">
        <f aca="false">'Norms &amp; Assumptions'!B50</f>
        <v>0.033</v>
      </c>
      <c r="F100" s="63" t="n">
        <f aca="false">IF(B93="",2,IF(B93&gt;=DATE(2026,4,8),4,2))</f>
        <v>2</v>
      </c>
      <c r="G100" s="71" t="n">
        <f aca="false">E100*F100</f>
        <v>0.066</v>
      </c>
      <c r="H100" s="59"/>
      <c r="I100" s="72" t="str">
        <f aca="false">IF(H100="","",H100-G100)</f>
        <v/>
      </c>
      <c r="J100" s="33"/>
    </row>
    <row r="101" customFormat="false" ht="18" hidden="false" customHeight="true" outlineLevel="0" collapsed="false">
      <c r="A101" s="57" t="n">
        <v>97</v>
      </c>
      <c r="B101" s="64"/>
      <c r="C101" s="6" t="s">
        <v>332</v>
      </c>
      <c r="D101" s="8" t="s">
        <v>333</v>
      </c>
      <c r="E101" s="71" t="n">
        <f aca="false">'Norms &amp; Assumptions'!B43</f>
        <v>2.5</v>
      </c>
      <c r="F101" s="63" t="n">
        <f aca="false">IF(B101="",2,IF(B101&gt;=DATE(2026,4,8),4,2))</f>
        <v>2</v>
      </c>
      <c r="G101" s="71" t="n">
        <f aca="false">E101*F101</f>
        <v>5</v>
      </c>
      <c r="H101" s="59"/>
      <c r="I101" s="72" t="str">
        <f aca="false">IF(H101="","",H101-G101)</f>
        <v/>
      </c>
      <c r="J101" s="33"/>
    </row>
    <row r="102" customFormat="false" ht="18" hidden="false" customHeight="true" outlineLevel="0" collapsed="false">
      <c r="A102" s="57" t="n">
        <v>98</v>
      </c>
      <c r="B102" s="73" t="n">
        <f aca="false">B101</f>
        <v>0</v>
      </c>
      <c r="C102" s="6" t="s">
        <v>81</v>
      </c>
      <c r="D102" s="8" t="s">
        <v>333</v>
      </c>
      <c r="E102" s="71" t="n">
        <f aca="false">'Norms &amp; Assumptions'!B44</f>
        <v>1.2</v>
      </c>
      <c r="F102" s="63" t="n">
        <f aca="false">IF(B101="",2,IF(B101&gt;=DATE(2026,4,8),4,2))</f>
        <v>2</v>
      </c>
      <c r="G102" s="71" t="n">
        <f aca="false">E102*F102</f>
        <v>2.4</v>
      </c>
      <c r="H102" s="59"/>
      <c r="I102" s="72" t="str">
        <f aca="false">IF(H102="","",H102-G102)</f>
        <v/>
      </c>
      <c r="J102" s="33"/>
    </row>
    <row r="103" customFormat="false" ht="18" hidden="false" customHeight="true" outlineLevel="0" collapsed="false">
      <c r="A103" s="57" t="n">
        <v>99</v>
      </c>
      <c r="B103" s="73" t="n">
        <f aca="false">B101</f>
        <v>0</v>
      </c>
      <c r="C103" s="6" t="s">
        <v>334</v>
      </c>
      <c r="D103" s="8" t="s">
        <v>335</v>
      </c>
      <c r="E103" s="71" t="n">
        <f aca="false">'Norms &amp; Assumptions'!B45</f>
        <v>0.5</v>
      </c>
      <c r="F103" s="63" t="n">
        <f aca="false">IF(B101="",2,IF(B101&gt;=DATE(2026,4,8),4,2))</f>
        <v>2</v>
      </c>
      <c r="G103" s="71" t="n">
        <f aca="false">E103*F103</f>
        <v>1</v>
      </c>
      <c r="H103" s="59"/>
      <c r="I103" s="72" t="str">
        <f aca="false">IF(H103="","",H103-G103)</f>
        <v/>
      </c>
      <c r="J103" s="33"/>
    </row>
    <row r="104" customFormat="false" ht="18" hidden="false" customHeight="true" outlineLevel="0" collapsed="false">
      <c r="A104" s="57" t="n">
        <v>100</v>
      </c>
      <c r="B104" s="73" t="n">
        <f aca="false">B101</f>
        <v>0</v>
      </c>
      <c r="C104" s="6" t="s">
        <v>336</v>
      </c>
      <c r="D104" s="8" t="s">
        <v>337</v>
      </c>
      <c r="E104" s="71" t="n">
        <f aca="false">'Norms &amp; Assumptions'!B46</f>
        <v>0.05</v>
      </c>
      <c r="F104" s="63" t="n">
        <f aca="false">IF(B101="",2,IF(B101&gt;=DATE(2026,4,8),4,2))</f>
        <v>2</v>
      </c>
      <c r="G104" s="71" t="n">
        <f aca="false">E104*F104</f>
        <v>0.1</v>
      </c>
      <c r="H104" s="59"/>
      <c r="I104" s="72" t="str">
        <f aca="false">IF(H104="","",H104-G104)</f>
        <v/>
      </c>
      <c r="J104" s="33"/>
    </row>
    <row r="105" customFormat="false" ht="18" hidden="false" customHeight="true" outlineLevel="0" collapsed="false">
      <c r="A105" s="57" t="n">
        <v>101</v>
      </c>
      <c r="B105" s="73" t="n">
        <f aca="false">B101</f>
        <v>0</v>
      </c>
      <c r="C105" s="6" t="s">
        <v>338</v>
      </c>
      <c r="D105" s="8" t="s">
        <v>339</v>
      </c>
      <c r="E105" s="71" t="n">
        <f aca="false">'Norms &amp; Assumptions'!B47</f>
        <v>0.2</v>
      </c>
      <c r="F105" s="63" t="n">
        <f aca="false">IF(B101="",2,IF(B101&gt;=DATE(2026,4,8),4,2))</f>
        <v>2</v>
      </c>
      <c r="G105" s="71" t="n">
        <f aca="false">E105*F105</f>
        <v>0.4</v>
      </c>
      <c r="H105" s="59"/>
      <c r="I105" s="72" t="str">
        <f aca="false">IF(H105="","",H105-G105)</f>
        <v/>
      </c>
      <c r="J105" s="33"/>
    </row>
    <row r="106" customFormat="false" ht="18" hidden="false" customHeight="true" outlineLevel="0" collapsed="false">
      <c r="A106" s="57" t="n">
        <v>102</v>
      </c>
      <c r="B106" s="73" t="n">
        <f aca="false">B101</f>
        <v>0</v>
      </c>
      <c r="C106" s="6" t="s">
        <v>340</v>
      </c>
      <c r="D106" s="8" t="s">
        <v>341</v>
      </c>
      <c r="E106" s="71" t="n">
        <f aca="false">'Norms &amp; Assumptions'!B48</f>
        <v>0.2</v>
      </c>
      <c r="F106" s="63" t="n">
        <f aca="false">IF(B101="",2,IF(B101&gt;=DATE(2026,4,8),4,2))</f>
        <v>2</v>
      </c>
      <c r="G106" s="71" t="n">
        <f aca="false">E106*F106</f>
        <v>0.4</v>
      </c>
      <c r="H106" s="59"/>
      <c r="I106" s="72" t="str">
        <f aca="false">IF(H106="","",H106-G106)</f>
        <v/>
      </c>
      <c r="J106" s="33"/>
    </row>
    <row r="107" customFormat="false" ht="18" hidden="false" customHeight="true" outlineLevel="0" collapsed="false">
      <c r="A107" s="57" t="n">
        <v>103</v>
      </c>
      <c r="B107" s="73" t="n">
        <f aca="false">B101</f>
        <v>0</v>
      </c>
      <c r="C107" s="6" t="s">
        <v>342</v>
      </c>
      <c r="D107" s="8" t="s">
        <v>343</v>
      </c>
      <c r="E107" s="71" t="n">
        <f aca="false">'Norms &amp; Assumptions'!B49</f>
        <v>0.05</v>
      </c>
      <c r="F107" s="63" t="n">
        <f aca="false">IF(B101="",2,IF(B101&gt;=DATE(2026,4,8),4,2))</f>
        <v>2</v>
      </c>
      <c r="G107" s="71" t="n">
        <f aca="false">E107*F107</f>
        <v>0.1</v>
      </c>
      <c r="H107" s="59"/>
      <c r="I107" s="72" t="str">
        <f aca="false">IF(H107="","",H107-G107)</f>
        <v/>
      </c>
      <c r="J107" s="33"/>
    </row>
    <row r="108" customFormat="false" ht="18" hidden="false" customHeight="true" outlineLevel="0" collapsed="false">
      <c r="A108" s="57" t="n">
        <v>104</v>
      </c>
      <c r="B108" s="73" t="n">
        <f aca="false">B101</f>
        <v>0</v>
      </c>
      <c r="C108" s="6" t="s">
        <v>98</v>
      </c>
      <c r="D108" s="8" t="s">
        <v>344</v>
      </c>
      <c r="E108" s="71" t="n">
        <f aca="false">'Norms &amp; Assumptions'!B50</f>
        <v>0.033</v>
      </c>
      <c r="F108" s="63" t="n">
        <f aca="false">IF(B101="",2,IF(B101&gt;=DATE(2026,4,8),4,2))</f>
        <v>2</v>
      </c>
      <c r="G108" s="71" t="n">
        <f aca="false">E108*F108</f>
        <v>0.066</v>
      </c>
      <c r="H108" s="59"/>
      <c r="I108" s="72" t="str">
        <f aca="false">IF(H108="","",H108-G108)</f>
        <v/>
      </c>
      <c r="J108" s="33"/>
    </row>
    <row r="109" customFormat="false" ht="18" hidden="false" customHeight="true" outlineLevel="0" collapsed="false">
      <c r="A109" s="57" t="n">
        <v>105</v>
      </c>
      <c r="B109" s="64"/>
      <c r="C109" s="6" t="s">
        <v>332</v>
      </c>
      <c r="D109" s="8" t="s">
        <v>333</v>
      </c>
      <c r="E109" s="71" t="n">
        <f aca="false">'Norms &amp; Assumptions'!B43</f>
        <v>2.5</v>
      </c>
      <c r="F109" s="63" t="n">
        <f aca="false">IF(B109="",2,IF(B109&gt;=DATE(2026,4,8),4,2))</f>
        <v>2</v>
      </c>
      <c r="G109" s="71" t="n">
        <f aca="false">E109*F109</f>
        <v>5</v>
      </c>
      <c r="H109" s="59"/>
      <c r="I109" s="72" t="str">
        <f aca="false">IF(H109="","",H109-G109)</f>
        <v/>
      </c>
      <c r="J109" s="33"/>
    </row>
    <row r="110" customFormat="false" ht="18" hidden="false" customHeight="true" outlineLevel="0" collapsed="false">
      <c r="A110" s="57" t="n">
        <v>106</v>
      </c>
      <c r="B110" s="73" t="n">
        <f aca="false">B109</f>
        <v>0</v>
      </c>
      <c r="C110" s="6" t="s">
        <v>81</v>
      </c>
      <c r="D110" s="8" t="s">
        <v>333</v>
      </c>
      <c r="E110" s="71" t="n">
        <f aca="false">'Norms &amp; Assumptions'!B44</f>
        <v>1.2</v>
      </c>
      <c r="F110" s="63" t="n">
        <f aca="false">IF(B109="",2,IF(B109&gt;=DATE(2026,4,8),4,2))</f>
        <v>2</v>
      </c>
      <c r="G110" s="71" t="n">
        <f aca="false">E110*F110</f>
        <v>2.4</v>
      </c>
      <c r="H110" s="59"/>
      <c r="I110" s="72" t="str">
        <f aca="false">IF(H110="","",H110-G110)</f>
        <v/>
      </c>
      <c r="J110" s="33"/>
    </row>
    <row r="111" customFormat="false" ht="18" hidden="false" customHeight="true" outlineLevel="0" collapsed="false">
      <c r="A111" s="57" t="n">
        <v>107</v>
      </c>
      <c r="B111" s="73" t="n">
        <f aca="false">B109</f>
        <v>0</v>
      </c>
      <c r="C111" s="6" t="s">
        <v>334</v>
      </c>
      <c r="D111" s="8" t="s">
        <v>335</v>
      </c>
      <c r="E111" s="71" t="n">
        <f aca="false">'Norms &amp; Assumptions'!B45</f>
        <v>0.5</v>
      </c>
      <c r="F111" s="63" t="n">
        <f aca="false">IF(B109="",2,IF(B109&gt;=DATE(2026,4,8),4,2))</f>
        <v>2</v>
      </c>
      <c r="G111" s="71" t="n">
        <f aca="false">E111*F111</f>
        <v>1</v>
      </c>
      <c r="H111" s="59"/>
      <c r="I111" s="72" t="str">
        <f aca="false">IF(H111="","",H111-G111)</f>
        <v/>
      </c>
      <c r="J111" s="33"/>
    </row>
    <row r="112" customFormat="false" ht="18" hidden="false" customHeight="true" outlineLevel="0" collapsed="false">
      <c r="A112" s="57" t="n">
        <v>108</v>
      </c>
      <c r="B112" s="73" t="n">
        <f aca="false">B109</f>
        <v>0</v>
      </c>
      <c r="C112" s="6" t="s">
        <v>336</v>
      </c>
      <c r="D112" s="8" t="s">
        <v>337</v>
      </c>
      <c r="E112" s="71" t="n">
        <f aca="false">'Norms &amp; Assumptions'!B46</f>
        <v>0.05</v>
      </c>
      <c r="F112" s="63" t="n">
        <f aca="false">IF(B109="",2,IF(B109&gt;=DATE(2026,4,8),4,2))</f>
        <v>2</v>
      </c>
      <c r="G112" s="71" t="n">
        <f aca="false">E112*F112</f>
        <v>0.1</v>
      </c>
      <c r="H112" s="59"/>
      <c r="I112" s="72" t="str">
        <f aca="false">IF(H112="","",H112-G112)</f>
        <v/>
      </c>
      <c r="J112" s="33"/>
    </row>
    <row r="113" customFormat="false" ht="18" hidden="false" customHeight="true" outlineLevel="0" collapsed="false">
      <c r="A113" s="57" t="n">
        <v>109</v>
      </c>
      <c r="B113" s="73" t="n">
        <f aca="false">B109</f>
        <v>0</v>
      </c>
      <c r="C113" s="6" t="s">
        <v>338</v>
      </c>
      <c r="D113" s="8" t="s">
        <v>339</v>
      </c>
      <c r="E113" s="71" t="n">
        <f aca="false">'Norms &amp; Assumptions'!B47</f>
        <v>0.2</v>
      </c>
      <c r="F113" s="63" t="n">
        <f aca="false">IF(B109="",2,IF(B109&gt;=DATE(2026,4,8),4,2))</f>
        <v>2</v>
      </c>
      <c r="G113" s="71" t="n">
        <f aca="false">E113*F113</f>
        <v>0.4</v>
      </c>
      <c r="H113" s="59"/>
      <c r="I113" s="72" t="str">
        <f aca="false">IF(H113="","",H113-G113)</f>
        <v/>
      </c>
      <c r="J113" s="33"/>
    </row>
    <row r="114" customFormat="false" ht="18" hidden="false" customHeight="true" outlineLevel="0" collapsed="false">
      <c r="A114" s="57" t="n">
        <v>110</v>
      </c>
      <c r="B114" s="73" t="n">
        <f aca="false">B109</f>
        <v>0</v>
      </c>
      <c r="C114" s="6" t="s">
        <v>340</v>
      </c>
      <c r="D114" s="8" t="s">
        <v>341</v>
      </c>
      <c r="E114" s="71" t="n">
        <f aca="false">'Norms &amp; Assumptions'!B48</f>
        <v>0.2</v>
      </c>
      <c r="F114" s="63" t="n">
        <f aca="false">IF(B109="",2,IF(B109&gt;=DATE(2026,4,8),4,2))</f>
        <v>2</v>
      </c>
      <c r="G114" s="71" t="n">
        <f aca="false">E114*F114</f>
        <v>0.4</v>
      </c>
      <c r="H114" s="59"/>
      <c r="I114" s="72" t="str">
        <f aca="false">IF(H114="","",H114-G114)</f>
        <v/>
      </c>
      <c r="J114" s="33"/>
    </row>
    <row r="115" customFormat="false" ht="18" hidden="false" customHeight="true" outlineLevel="0" collapsed="false">
      <c r="A115" s="57" t="n">
        <v>111</v>
      </c>
      <c r="B115" s="73" t="n">
        <f aca="false">B109</f>
        <v>0</v>
      </c>
      <c r="C115" s="6" t="s">
        <v>342</v>
      </c>
      <c r="D115" s="8" t="s">
        <v>343</v>
      </c>
      <c r="E115" s="71" t="n">
        <f aca="false">'Norms &amp; Assumptions'!B49</f>
        <v>0.05</v>
      </c>
      <c r="F115" s="63" t="n">
        <f aca="false">IF(B109="",2,IF(B109&gt;=DATE(2026,4,8),4,2))</f>
        <v>2</v>
      </c>
      <c r="G115" s="71" t="n">
        <f aca="false">E115*F115</f>
        <v>0.1</v>
      </c>
      <c r="H115" s="59"/>
      <c r="I115" s="72" t="str">
        <f aca="false">IF(H115="","",H115-G115)</f>
        <v/>
      </c>
      <c r="J115" s="33"/>
    </row>
    <row r="116" customFormat="false" ht="18" hidden="false" customHeight="true" outlineLevel="0" collapsed="false">
      <c r="A116" s="57" t="n">
        <v>112</v>
      </c>
      <c r="B116" s="73" t="n">
        <f aca="false">B109</f>
        <v>0</v>
      </c>
      <c r="C116" s="6" t="s">
        <v>98</v>
      </c>
      <c r="D116" s="8" t="s">
        <v>344</v>
      </c>
      <c r="E116" s="71" t="n">
        <f aca="false">'Norms &amp; Assumptions'!B50</f>
        <v>0.033</v>
      </c>
      <c r="F116" s="63" t="n">
        <f aca="false">IF(B109="",2,IF(B109&gt;=DATE(2026,4,8),4,2))</f>
        <v>2</v>
      </c>
      <c r="G116" s="71" t="n">
        <f aca="false">E116*F116</f>
        <v>0.066</v>
      </c>
      <c r="H116" s="59"/>
      <c r="I116" s="72" t="str">
        <f aca="false">IF(H116="","",H116-G116)</f>
        <v/>
      </c>
      <c r="J116" s="33"/>
    </row>
    <row r="117" customFormat="false" ht="18" hidden="false" customHeight="true" outlineLevel="0" collapsed="false">
      <c r="A117" s="57" t="n">
        <v>113</v>
      </c>
      <c r="B117" s="64"/>
      <c r="C117" s="6" t="s">
        <v>332</v>
      </c>
      <c r="D117" s="8" t="s">
        <v>333</v>
      </c>
      <c r="E117" s="71" t="n">
        <f aca="false">'Norms &amp; Assumptions'!B43</f>
        <v>2.5</v>
      </c>
      <c r="F117" s="63" t="n">
        <f aca="false">IF(B117="",2,IF(B117&gt;=DATE(2026,4,8),4,2))</f>
        <v>2</v>
      </c>
      <c r="G117" s="71" t="n">
        <f aca="false">E117*F117</f>
        <v>5</v>
      </c>
      <c r="H117" s="59"/>
      <c r="I117" s="72" t="str">
        <f aca="false">IF(H117="","",H117-G117)</f>
        <v/>
      </c>
      <c r="J117" s="33"/>
    </row>
    <row r="118" customFormat="false" ht="18" hidden="false" customHeight="true" outlineLevel="0" collapsed="false">
      <c r="A118" s="57" t="n">
        <v>114</v>
      </c>
      <c r="B118" s="73" t="n">
        <f aca="false">B117</f>
        <v>0</v>
      </c>
      <c r="C118" s="6" t="s">
        <v>81</v>
      </c>
      <c r="D118" s="8" t="s">
        <v>333</v>
      </c>
      <c r="E118" s="71" t="n">
        <f aca="false">'Norms &amp; Assumptions'!B44</f>
        <v>1.2</v>
      </c>
      <c r="F118" s="63" t="n">
        <f aca="false">IF(B117="",2,IF(B117&gt;=DATE(2026,4,8),4,2))</f>
        <v>2</v>
      </c>
      <c r="G118" s="71" t="n">
        <f aca="false">E118*F118</f>
        <v>2.4</v>
      </c>
      <c r="H118" s="59"/>
      <c r="I118" s="72" t="str">
        <f aca="false">IF(H118="","",H118-G118)</f>
        <v/>
      </c>
      <c r="J118" s="33"/>
    </row>
    <row r="119" customFormat="false" ht="18" hidden="false" customHeight="true" outlineLevel="0" collapsed="false">
      <c r="A119" s="57" t="n">
        <v>115</v>
      </c>
      <c r="B119" s="73" t="n">
        <f aca="false">B117</f>
        <v>0</v>
      </c>
      <c r="C119" s="6" t="s">
        <v>334</v>
      </c>
      <c r="D119" s="8" t="s">
        <v>335</v>
      </c>
      <c r="E119" s="71" t="n">
        <f aca="false">'Norms &amp; Assumptions'!B45</f>
        <v>0.5</v>
      </c>
      <c r="F119" s="63" t="n">
        <f aca="false">IF(B117="",2,IF(B117&gt;=DATE(2026,4,8),4,2))</f>
        <v>2</v>
      </c>
      <c r="G119" s="71" t="n">
        <f aca="false">E119*F119</f>
        <v>1</v>
      </c>
      <c r="H119" s="59"/>
      <c r="I119" s="72" t="str">
        <f aca="false">IF(H119="","",H119-G119)</f>
        <v/>
      </c>
      <c r="J119" s="33"/>
    </row>
    <row r="120" customFormat="false" ht="18" hidden="false" customHeight="true" outlineLevel="0" collapsed="false">
      <c r="A120" s="57" t="n">
        <v>116</v>
      </c>
      <c r="B120" s="73" t="n">
        <f aca="false">B117</f>
        <v>0</v>
      </c>
      <c r="C120" s="6" t="s">
        <v>336</v>
      </c>
      <c r="D120" s="8" t="s">
        <v>337</v>
      </c>
      <c r="E120" s="71" t="n">
        <f aca="false">'Norms &amp; Assumptions'!B46</f>
        <v>0.05</v>
      </c>
      <c r="F120" s="63" t="n">
        <f aca="false">IF(B117="",2,IF(B117&gt;=DATE(2026,4,8),4,2))</f>
        <v>2</v>
      </c>
      <c r="G120" s="71" t="n">
        <f aca="false">E120*F120</f>
        <v>0.1</v>
      </c>
      <c r="H120" s="59"/>
      <c r="I120" s="72" t="str">
        <f aca="false">IF(H120="","",H120-G120)</f>
        <v/>
      </c>
      <c r="J120" s="33"/>
    </row>
    <row r="121" customFormat="false" ht="18" hidden="false" customHeight="true" outlineLevel="0" collapsed="false">
      <c r="A121" s="57" t="n">
        <v>117</v>
      </c>
      <c r="B121" s="73" t="n">
        <f aca="false">B117</f>
        <v>0</v>
      </c>
      <c r="C121" s="6" t="s">
        <v>338</v>
      </c>
      <c r="D121" s="8" t="s">
        <v>339</v>
      </c>
      <c r="E121" s="71" t="n">
        <f aca="false">'Norms &amp; Assumptions'!B47</f>
        <v>0.2</v>
      </c>
      <c r="F121" s="63" t="n">
        <f aca="false">IF(B117="",2,IF(B117&gt;=DATE(2026,4,8),4,2))</f>
        <v>2</v>
      </c>
      <c r="G121" s="71" t="n">
        <f aca="false">E121*F121</f>
        <v>0.4</v>
      </c>
      <c r="H121" s="59"/>
      <c r="I121" s="72" t="str">
        <f aca="false">IF(H121="","",H121-G121)</f>
        <v/>
      </c>
      <c r="J121" s="33"/>
    </row>
    <row r="122" customFormat="false" ht="18" hidden="false" customHeight="true" outlineLevel="0" collapsed="false">
      <c r="A122" s="57" t="n">
        <v>118</v>
      </c>
      <c r="B122" s="73" t="n">
        <f aca="false">B117</f>
        <v>0</v>
      </c>
      <c r="C122" s="6" t="s">
        <v>340</v>
      </c>
      <c r="D122" s="8" t="s">
        <v>341</v>
      </c>
      <c r="E122" s="71" t="n">
        <f aca="false">'Norms &amp; Assumptions'!B48</f>
        <v>0.2</v>
      </c>
      <c r="F122" s="63" t="n">
        <f aca="false">IF(B117="",2,IF(B117&gt;=DATE(2026,4,8),4,2))</f>
        <v>2</v>
      </c>
      <c r="G122" s="71" t="n">
        <f aca="false">E122*F122</f>
        <v>0.4</v>
      </c>
      <c r="H122" s="59"/>
      <c r="I122" s="72" t="str">
        <f aca="false">IF(H122="","",H122-G122)</f>
        <v/>
      </c>
      <c r="J122" s="33"/>
    </row>
    <row r="123" customFormat="false" ht="18" hidden="false" customHeight="true" outlineLevel="0" collapsed="false">
      <c r="A123" s="57" t="n">
        <v>119</v>
      </c>
      <c r="B123" s="73" t="n">
        <f aca="false">B117</f>
        <v>0</v>
      </c>
      <c r="C123" s="6" t="s">
        <v>342</v>
      </c>
      <c r="D123" s="8" t="s">
        <v>343</v>
      </c>
      <c r="E123" s="71" t="n">
        <f aca="false">'Norms &amp; Assumptions'!B49</f>
        <v>0.05</v>
      </c>
      <c r="F123" s="63" t="n">
        <f aca="false">IF(B117="",2,IF(B117&gt;=DATE(2026,4,8),4,2))</f>
        <v>2</v>
      </c>
      <c r="G123" s="71" t="n">
        <f aca="false">E123*F123</f>
        <v>0.1</v>
      </c>
      <c r="H123" s="59"/>
      <c r="I123" s="72" t="str">
        <f aca="false">IF(H123="","",H123-G123)</f>
        <v/>
      </c>
      <c r="J123" s="33"/>
    </row>
    <row r="124" customFormat="false" ht="18" hidden="false" customHeight="true" outlineLevel="0" collapsed="false">
      <c r="A124" s="57" t="n">
        <v>120</v>
      </c>
      <c r="B124" s="73" t="n">
        <f aca="false">B117</f>
        <v>0</v>
      </c>
      <c r="C124" s="6" t="s">
        <v>98</v>
      </c>
      <c r="D124" s="8" t="s">
        <v>344</v>
      </c>
      <c r="E124" s="71" t="n">
        <f aca="false">'Norms &amp; Assumptions'!B50</f>
        <v>0.033</v>
      </c>
      <c r="F124" s="63" t="n">
        <f aca="false">IF(B117="",2,IF(B117&gt;=DATE(2026,4,8),4,2))</f>
        <v>2</v>
      </c>
      <c r="G124" s="71" t="n">
        <f aca="false">E124*F124</f>
        <v>0.066</v>
      </c>
      <c r="H124" s="59"/>
      <c r="I124" s="72" t="str">
        <f aca="false">IF(H124="","",H124-G124)</f>
        <v/>
      </c>
      <c r="J124" s="33"/>
    </row>
    <row r="125" customFormat="false" ht="18" hidden="false" customHeight="true" outlineLevel="0" collapsed="false">
      <c r="A125" s="57" t="n">
        <v>121</v>
      </c>
      <c r="B125" s="64"/>
      <c r="C125" s="6" t="s">
        <v>332</v>
      </c>
      <c r="D125" s="8" t="s">
        <v>333</v>
      </c>
      <c r="E125" s="71" t="n">
        <f aca="false">'Norms &amp; Assumptions'!B43</f>
        <v>2.5</v>
      </c>
      <c r="F125" s="63" t="n">
        <f aca="false">IF(B125="",2,IF(B125&gt;=DATE(2026,4,8),4,2))</f>
        <v>2</v>
      </c>
      <c r="G125" s="71" t="n">
        <f aca="false">E125*F125</f>
        <v>5</v>
      </c>
      <c r="H125" s="59"/>
      <c r="I125" s="72" t="str">
        <f aca="false">IF(H125="","",H125-G125)</f>
        <v/>
      </c>
      <c r="J125" s="33"/>
    </row>
    <row r="126" customFormat="false" ht="18" hidden="false" customHeight="true" outlineLevel="0" collapsed="false">
      <c r="A126" s="57" t="n">
        <v>122</v>
      </c>
      <c r="B126" s="73" t="n">
        <f aca="false">B125</f>
        <v>0</v>
      </c>
      <c r="C126" s="6" t="s">
        <v>81</v>
      </c>
      <c r="D126" s="8" t="s">
        <v>333</v>
      </c>
      <c r="E126" s="71" t="n">
        <f aca="false">'Norms &amp; Assumptions'!B44</f>
        <v>1.2</v>
      </c>
      <c r="F126" s="63" t="n">
        <f aca="false">IF(B125="",2,IF(B125&gt;=DATE(2026,4,8),4,2))</f>
        <v>2</v>
      </c>
      <c r="G126" s="71" t="n">
        <f aca="false">E126*F126</f>
        <v>2.4</v>
      </c>
      <c r="H126" s="59"/>
      <c r="I126" s="72" t="str">
        <f aca="false">IF(H126="","",H126-G126)</f>
        <v/>
      </c>
      <c r="J126" s="33"/>
    </row>
    <row r="127" customFormat="false" ht="18" hidden="false" customHeight="true" outlineLevel="0" collapsed="false">
      <c r="A127" s="57" t="n">
        <v>123</v>
      </c>
      <c r="B127" s="73" t="n">
        <f aca="false">B125</f>
        <v>0</v>
      </c>
      <c r="C127" s="6" t="s">
        <v>334</v>
      </c>
      <c r="D127" s="8" t="s">
        <v>335</v>
      </c>
      <c r="E127" s="71" t="n">
        <f aca="false">'Norms &amp; Assumptions'!B45</f>
        <v>0.5</v>
      </c>
      <c r="F127" s="63" t="n">
        <f aca="false">IF(B125="",2,IF(B125&gt;=DATE(2026,4,8),4,2))</f>
        <v>2</v>
      </c>
      <c r="G127" s="71" t="n">
        <f aca="false">E127*F127</f>
        <v>1</v>
      </c>
      <c r="H127" s="59"/>
      <c r="I127" s="72" t="str">
        <f aca="false">IF(H127="","",H127-G127)</f>
        <v/>
      </c>
      <c r="J127" s="33"/>
    </row>
    <row r="128" customFormat="false" ht="18" hidden="false" customHeight="true" outlineLevel="0" collapsed="false">
      <c r="A128" s="57" t="n">
        <v>124</v>
      </c>
      <c r="B128" s="73" t="n">
        <f aca="false">B125</f>
        <v>0</v>
      </c>
      <c r="C128" s="6" t="s">
        <v>336</v>
      </c>
      <c r="D128" s="8" t="s">
        <v>337</v>
      </c>
      <c r="E128" s="71" t="n">
        <f aca="false">'Norms &amp; Assumptions'!B46</f>
        <v>0.05</v>
      </c>
      <c r="F128" s="63" t="n">
        <f aca="false">IF(B125="",2,IF(B125&gt;=DATE(2026,4,8),4,2))</f>
        <v>2</v>
      </c>
      <c r="G128" s="71" t="n">
        <f aca="false">E128*F128</f>
        <v>0.1</v>
      </c>
      <c r="H128" s="59"/>
      <c r="I128" s="72" t="str">
        <f aca="false">IF(H128="","",H128-G128)</f>
        <v/>
      </c>
      <c r="J128" s="33"/>
    </row>
    <row r="129" customFormat="false" ht="18" hidden="false" customHeight="true" outlineLevel="0" collapsed="false">
      <c r="A129" s="57" t="n">
        <v>125</v>
      </c>
      <c r="B129" s="73" t="n">
        <f aca="false">B125</f>
        <v>0</v>
      </c>
      <c r="C129" s="6" t="s">
        <v>338</v>
      </c>
      <c r="D129" s="8" t="s">
        <v>339</v>
      </c>
      <c r="E129" s="71" t="n">
        <f aca="false">'Norms &amp; Assumptions'!B47</f>
        <v>0.2</v>
      </c>
      <c r="F129" s="63" t="n">
        <f aca="false">IF(B125="",2,IF(B125&gt;=DATE(2026,4,8),4,2))</f>
        <v>2</v>
      </c>
      <c r="G129" s="71" t="n">
        <f aca="false">E129*F129</f>
        <v>0.4</v>
      </c>
      <c r="H129" s="59"/>
      <c r="I129" s="72" t="str">
        <f aca="false">IF(H129="","",H129-G129)</f>
        <v/>
      </c>
      <c r="J129" s="33"/>
    </row>
    <row r="130" customFormat="false" ht="18" hidden="false" customHeight="true" outlineLevel="0" collapsed="false">
      <c r="A130" s="57" t="n">
        <v>126</v>
      </c>
      <c r="B130" s="73" t="n">
        <f aca="false">B125</f>
        <v>0</v>
      </c>
      <c r="C130" s="6" t="s">
        <v>340</v>
      </c>
      <c r="D130" s="8" t="s">
        <v>341</v>
      </c>
      <c r="E130" s="71" t="n">
        <f aca="false">'Norms &amp; Assumptions'!B48</f>
        <v>0.2</v>
      </c>
      <c r="F130" s="63" t="n">
        <f aca="false">IF(B125="",2,IF(B125&gt;=DATE(2026,4,8),4,2))</f>
        <v>2</v>
      </c>
      <c r="G130" s="71" t="n">
        <f aca="false">E130*F130</f>
        <v>0.4</v>
      </c>
      <c r="H130" s="59"/>
      <c r="I130" s="72" t="str">
        <f aca="false">IF(H130="","",H130-G130)</f>
        <v/>
      </c>
      <c r="J130" s="33"/>
    </row>
    <row r="131" customFormat="false" ht="18" hidden="false" customHeight="true" outlineLevel="0" collapsed="false">
      <c r="A131" s="57" t="n">
        <v>127</v>
      </c>
      <c r="B131" s="73" t="n">
        <f aca="false">B125</f>
        <v>0</v>
      </c>
      <c r="C131" s="6" t="s">
        <v>342</v>
      </c>
      <c r="D131" s="8" t="s">
        <v>343</v>
      </c>
      <c r="E131" s="71" t="n">
        <f aca="false">'Norms &amp; Assumptions'!B49</f>
        <v>0.05</v>
      </c>
      <c r="F131" s="63" t="n">
        <f aca="false">IF(B125="",2,IF(B125&gt;=DATE(2026,4,8),4,2))</f>
        <v>2</v>
      </c>
      <c r="G131" s="71" t="n">
        <f aca="false">E131*F131</f>
        <v>0.1</v>
      </c>
      <c r="H131" s="59"/>
      <c r="I131" s="72" t="str">
        <f aca="false">IF(H131="","",H131-G131)</f>
        <v/>
      </c>
      <c r="J131" s="33"/>
    </row>
    <row r="132" customFormat="false" ht="18" hidden="false" customHeight="true" outlineLevel="0" collapsed="false">
      <c r="A132" s="57" t="n">
        <v>128</v>
      </c>
      <c r="B132" s="73" t="n">
        <f aca="false">B125</f>
        <v>0</v>
      </c>
      <c r="C132" s="6" t="s">
        <v>98</v>
      </c>
      <c r="D132" s="8" t="s">
        <v>344</v>
      </c>
      <c r="E132" s="71" t="n">
        <f aca="false">'Norms &amp; Assumptions'!B50</f>
        <v>0.033</v>
      </c>
      <c r="F132" s="63" t="n">
        <f aca="false">IF(B125="",2,IF(B125&gt;=DATE(2026,4,8),4,2))</f>
        <v>2</v>
      </c>
      <c r="G132" s="71" t="n">
        <f aca="false">E132*F132</f>
        <v>0.066</v>
      </c>
      <c r="H132" s="59"/>
      <c r="I132" s="72" t="str">
        <f aca="false">IF(H132="","",H132-G132)</f>
        <v/>
      </c>
      <c r="J132" s="33"/>
    </row>
    <row r="133" customFormat="false" ht="18" hidden="false" customHeight="true" outlineLevel="0" collapsed="false">
      <c r="A133" s="57" t="n">
        <v>129</v>
      </c>
      <c r="B133" s="64"/>
      <c r="C133" s="6" t="s">
        <v>332</v>
      </c>
      <c r="D133" s="8" t="s">
        <v>333</v>
      </c>
      <c r="E133" s="71" t="n">
        <f aca="false">'Norms &amp; Assumptions'!B43</f>
        <v>2.5</v>
      </c>
      <c r="F133" s="63" t="n">
        <f aca="false">IF(B133="",2,IF(B133&gt;=DATE(2026,4,8),4,2))</f>
        <v>2</v>
      </c>
      <c r="G133" s="71" t="n">
        <f aca="false">E133*F133</f>
        <v>5</v>
      </c>
      <c r="H133" s="59"/>
      <c r="I133" s="72" t="str">
        <f aca="false">IF(H133="","",H133-G133)</f>
        <v/>
      </c>
      <c r="J133" s="33"/>
    </row>
    <row r="134" customFormat="false" ht="18" hidden="false" customHeight="true" outlineLevel="0" collapsed="false">
      <c r="A134" s="57" t="n">
        <v>130</v>
      </c>
      <c r="B134" s="73" t="n">
        <f aca="false">B133</f>
        <v>0</v>
      </c>
      <c r="C134" s="6" t="s">
        <v>81</v>
      </c>
      <c r="D134" s="8" t="s">
        <v>333</v>
      </c>
      <c r="E134" s="71" t="n">
        <f aca="false">'Norms &amp; Assumptions'!B44</f>
        <v>1.2</v>
      </c>
      <c r="F134" s="63" t="n">
        <f aca="false">IF(B133="",2,IF(B133&gt;=DATE(2026,4,8),4,2))</f>
        <v>2</v>
      </c>
      <c r="G134" s="71" t="n">
        <f aca="false">E134*F134</f>
        <v>2.4</v>
      </c>
      <c r="H134" s="59"/>
      <c r="I134" s="72" t="str">
        <f aca="false">IF(H134="","",H134-G134)</f>
        <v/>
      </c>
      <c r="J134" s="33"/>
    </row>
    <row r="135" customFormat="false" ht="18" hidden="false" customHeight="true" outlineLevel="0" collapsed="false">
      <c r="A135" s="57" t="n">
        <v>131</v>
      </c>
      <c r="B135" s="73" t="n">
        <f aca="false">B133</f>
        <v>0</v>
      </c>
      <c r="C135" s="6" t="s">
        <v>334</v>
      </c>
      <c r="D135" s="8" t="s">
        <v>335</v>
      </c>
      <c r="E135" s="71" t="n">
        <f aca="false">'Norms &amp; Assumptions'!B45</f>
        <v>0.5</v>
      </c>
      <c r="F135" s="63" t="n">
        <f aca="false">IF(B133="",2,IF(B133&gt;=DATE(2026,4,8),4,2))</f>
        <v>2</v>
      </c>
      <c r="G135" s="71" t="n">
        <f aca="false">E135*F135</f>
        <v>1</v>
      </c>
      <c r="H135" s="59"/>
      <c r="I135" s="72" t="str">
        <f aca="false">IF(H135="","",H135-G135)</f>
        <v/>
      </c>
      <c r="J135" s="33"/>
    </row>
    <row r="136" customFormat="false" ht="18" hidden="false" customHeight="true" outlineLevel="0" collapsed="false">
      <c r="A136" s="57" t="n">
        <v>132</v>
      </c>
      <c r="B136" s="73" t="n">
        <f aca="false">B133</f>
        <v>0</v>
      </c>
      <c r="C136" s="6" t="s">
        <v>336</v>
      </c>
      <c r="D136" s="8" t="s">
        <v>337</v>
      </c>
      <c r="E136" s="71" t="n">
        <f aca="false">'Norms &amp; Assumptions'!B46</f>
        <v>0.05</v>
      </c>
      <c r="F136" s="63" t="n">
        <f aca="false">IF(B133="",2,IF(B133&gt;=DATE(2026,4,8),4,2))</f>
        <v>2</v>
      </c>
      <c r="G136" s="71" t="n">
        <f aca="false">E136*F136</f>
        <v>0.1</v>
      </c>
      <c r="H136" s="59"/>
      <c r="I136" s="72" t="str">
        <f aca="false">IF(H136="","",H136-G136)</f>
        <v/>
      </c>
      <c r="J136" s="33"/>
    </row>
    <row r="137" customFormat="false" ht="18" hidden="false" customHeight="true" outlineLevel="0" collapsed="false">
      <c r="A137" s="57" t="n">
        <v>133</v>
      </c>
      <c r="B137" s="73" t="n">
        <f aca="false">B133</f>
        <v>0</v>
      </c>
      <c r="C137" s="6" t="s">
        <v>338</v>
      </c>
      <c r="D137" s="8" t="s">
        <v>339</v>
      </c>
      <c r="E137" s="71" t="n">
        <f aca="false">'Norms &amp; Assumptions'!B47</f>
        <v>0.2</v>
      </c>
      <c r="F137" s="63" t="n">
        <f aca="false">IF(B133="",2,IF(B133&gt;=DATE(2026,4,8),4,2))</f>
        <v>2</v>
      </c>
      <c r="G137" s="71" t="n">
        <f aca="false">E137*F137</f>
        <v>0.4</v>
      </c>
      <c r="H137" s="59"/>
      <c r="I137" s="72" t="str">
        <f aca="false">IF(H137="","",H137-G137)</f>
        <v/>
      </c>
      <c r="J137" s="33"/>
    </row>
    <row r="138" customFormat="false" ht="18" hidden="false" customHeight="true" outlineLevel="0" collapsed="false">
      <c r="A138" s="57" t="n">
        <v>134</v>
      </c>
      <c r="B138" s="73" t="n">
        <f aca="false">B133</f>
        <v>0</v>
      </c>
      <c r="C138" s="6" t="s">
        <v>340</v>
      </c>
      <c r="D138" s="8" t="s">
        <v>341</v>
      </c>
      <c r="E138" s="71" t="n">
        <f aca="false">'Norms &amp; Assumptions'!B48</f>
        <v>0.2</v>
      </c>
      <c r="F138" s="63" t="n">
        <f aca="false">IF(B133="",2,IF(B133&gt;=DATE(2026,4,8),4,2))</f>
        <v>2</v>
      </c>
      <c r="G138" s="71" t="n">
        <f aca="false">E138*F138</f>
        <v>0.4</v>
      </c>
      <c r="H138" s="59"/>
      <c r="I138" s="72" t="str">
        <f aca="false">IF(H138="","",H138-G138)</f>
        <v/>
      </c>
      <c r="J138" s="33"/>
    </row>
    <row r="139" customFormat="false" ht="18" hidden="false" customHeight="true" outlineLevel="0" collapsed="false">
      <c r="A139" s="57" t="n">
        <v>135</v>
      </c>
      <c r="B139" s="73" t="n">
        <f aca="false">B133</f>
        <v>0</v>
      </c>
      <c r="C139" s="6" t="s">
        <v>342</v>
      </c>
      <c r="D139" s="8" t="s">
        <v>343</v>
      </c>
      <c r="E139" s="71" t="n">
        <f aca="false">'Norms &amp; Assumptions'!B49</f>
        <v>0.05</v>
      </c>
      <c r="F139" s="63" t="n">
        <f aca="false">IF(B133="",2,IF(B133&gt;=DATE(2026,4,8),4,2))</f>
        <v>2</v>
      </c>
      <c r="G139" s="71" t="n">
        <f aca="false">E139*F139</f>
        <v>0.1</v>
      </c>
      <c r="H139" s="59"/>
      <c r="I139" s="72" t="str">
        <f aca="false">IF(H139="","",H139-G139)</f>
        <v/>
      </c>
      <c r="J139" s="33"/>
    </row>
    <row r="140" customFormat="false" ht="18" hidden="false" customHeight="true" outlineLevel="0" collapsed="false">
      <c r="A140" s="57" t="n">
        <v>136</v>
      </c>
      <c r="B140" s="73" t="n">
        <f aca="false">B133</f>
        <v>0</v>
      </c>
      <c r="C140" s="6" t="s">
        <v>98</v>
      </c>
      <c r="D140" s="8" t="s">
        <v>344</v>
      </c>
      <c r="E140" s="71" t="n">
        <f aca="false">'Norms &amp; Assumptions'!B50</f>
        <v>0.033</v>
      </c>
      <c r="F140" s="63" t="n">
        <f aca="false">IF(B133="",2,IF(B133&gt;=DATE(2026,4,8),4,2))</f>
        <v>2</v>
      </c>
      <c r="G140" s="71" t="n">
        <f aca="false">E140*F140</f>
        <v>0.066</v>
      </c>
      <c r="H140" s="59"/>
      <c r="I140" s="72" t="str">
        <f aca="false">IF(H140="","",H140-G140)</f>
        <v/>
      </c>
      <c r="J140" s="33"/>
    </row>
    <row r="141" customFormat="false" ht="18" hidden="false" customHeight="true" outlineLevel="0" collapsed="false">
      <c r="A141" s="57" t="n">
        <v>137</v>
      </c>
      <c r="B141" s="64"/>
      <c r="C141" s="6" t="s">
        <v>332</v>
      </c>
      <c r="D141" s="8" t="s">
        <v>333</v>
      </c>
      <c r="E141" s="71" t="n">
        <f aca="false">'Norms &amp; Assumptions'!B43</f>
        <v>2.5</v>
      </c>
      <c r="F141" s="63" t="n">
        <f aca="false">IF(B141="",2,IF(B141&gt;=DATE(2026,4,8),4,2))</f>
        <v>2</v>
      </c>
      <c r="G141" s="71" t="n">
        <f aca="false">E141*F141</f>
        <v>5</v>
      </c>
      <c r="H141" s="59"/>
      <c r="I141" s="72" t="str">
        <f aca="false">IF(H141="","",H141-G141)</f>
        <v/>
      </c>
      <c r="J141" s="33"/>
    </row>
    <row r="142" customFormat="false" ht="18" hidden="false" customHeight="true" outlineLevel="0" collapsed="false">
      <c r="A142" s="57" t="n">
        <v>138</v>
      </c>
      <c r="B142" s="73" t="n">
        <f aca="false">B141</f>
        <v>0</v>
      </c>
      <c r="C142" s="6" t="s">
        <v>81</v>
      </c>
      <c r="D142" s="8" t="s">
        <v>333</v>
      </c>
      <c r="E142" s="71" t="n">
        <f aca="false">'Norms &amp; Assumptions'!B44</f>
        <v>1.2</v>
      </c>
      <c r="F142" s="63" t="n">
        <f aca="false">IF(B141="",2,IF(B141&gt;=DATE(2026,4,8),4,2))</f>
        <v>2</v>
      </c>
      <c r="G142" s="71" t="n">
        <f aca="false">E142*F142</f>
        <v>2.4</v>
      </c>
      <c r="H142" s="59"/>
      <c r="I142" s="72" t="str">
        <f aca="false">IF(H142="","",H142-G142)</f>
        <v/>
      </c>
      <c r="J142" s="33"/>
    </row>
    <row r="143" customFormat="false" ht="18" hidden="false" customHeight="true" outlineLevel="0" collapsed="false">
      <c r="A143" s="57" t="n">
        <v>139</v>
      </c>
      <c r="B143" s="73" t="n">
        <f aca="false">B141</f>
        <v>0</v>
      </c>
      <c r="C143" s="6" t="s">
        <v>334</v>
      </c>
      <c r="D143" s="8" t="s">
        <v>335</v>
      </c>
      <c r="E143" s="71" t="n">
        <f aca="false">'Norms &amp; Assumptions'!B45</f>
        <v>0.5</v>
      </c>
      <c r="F143" s="63" t="n">
        <f aca="false">IF(B141="",2,IF(B141&gt;=DATE(2026,4,8),4,2))</f>
        <v>2</v>
      </c>
      <c r="G143" s="71" t="n">
        <f aca="false">E143*F143</f>
        <v>1</v>
      </c>
      <c r="H143" s="59"/>
      <c r="I143" s="72" t="str">
        <f aca="false">IF(H143="","",H143-G143)</f>
        <v/>
      </c>
      <c r="J143" s="33"/>
    </row>
    <row r="144" customFormat="false" ht="18" hidden="false" customHeight="true" outlineLevel="0" collapsed="false">
      <c r="A144" s="57" t="n">
        <v>140</v>
      </c>
      <c r="B144" s="73" t="n">
        <f aca="false">B141</f>
        <v>0</v>
      </c>
      <c r="C144" s="6" t="s">
        <v>336</v>
      </c>
      <c r="D144" s="8" t="s">
        <v>337</v>
      </c>
      <c r="E144" s="71" t="n">
        <f aca="false">'Norms &amp; Assumptions'!B46</f>
        <v>0.05</v>
      </c>
      <c r="F144" s="63" t="n">
        <f aca="false">IF(B141="",2,IF(B141&gt;=DATE(2026,4,8),4,2))</f>
        <v>2</v>
      </c>
      <c r="G144" s="71" t="n">
        <f aca="false">E144*F144</f>
        <v>0.1</v>
      </c>
      <c r="H144" s="59"/>
      <c r="I144" s="72" t="str">
        <f aca="false">IF(H144="","",H144-G144)</f>
        <v/>
      </c>
      <c r="J144" s="33"/>
    </row>
    <row r="145" customFormat="false" ht="18" hidden="false" customHeight="true" outlineLevel="0" collapsed="false">
      <c r="A145" s="57" t="n">
        <v>141</v>
      </c>
      <c r="B145" s="73" t="n">
        <f aca="false">B141</f>
        <v>0</v>
      </c>
      <c r="C145" s="6" t="s">
        <v>338</v>
      </c>
      <c r="D145" s="8" t="s">
        <v>339</v>
      </c>
      <c r="E145" s="71" t="n">
        <f aca="false">'Norms &amp; Assumptions'!B47</f>
        <v>0.2</v>
      </c>
      <c r="F145" s="63" t="n">
        <f aca="false">IF(B141="",2,IF(B141&gt;=DATE(2026,4,8),4,2))</f>
        <v>2</v>
      </c>
      <c r="G145" s="71" t="n">
        <f aca="false">E145*F145</f>
        <v>0.4</v>
      </c>
      <c r="H145" s="59"/>
      <c r="I145" s="72" t="str">
        <f aca="false">IF(H145="","",H145-G145)</f>
        <v/>
      </c>
      <c r="J145" s="33"/>
    </row>
    <row r="146" customFormat="false" ht="18" hidden="false" customHeight="true" outlineLevel="0" collapsed="false">
      <c r="A146" s="57" t="n">
        <v>142</v>
      </c>
      <c r="B146" s="73" t="n">
        <f aca="false">B141</f>
        <v>0</v>
      </c>
      <c r="C146" s="6" t="s">
        <v>340</v>
      </c>
      <c r="D146" s="8" t="s">
        <v>341</v>
      </c>
      <c r="E146" s="71" t="n">
        <f aca="false">'Norms &amp; Assumptions'!B48</f>
        <v>0.2</v>
      </c>
      <c r="F146" s="63" t="n">
        <f aca="false">IF(B141="",2,IF(B141&gt;=DATE(2026,4,8),4,2))</f>
        <v>2</v>
      </c>
      <c r="G146" s="71" t="n">
        <f aca="false">E146*F146</f>
        <v>0.4</v>
      </c>
      <c r="H146" s="59"/>
      <c r="I146" s="72" t="str">
        <f aca="false">IF(H146="","",H146-G146)</f>
        <v/>
      </c>
      <c r="J146" s="33"/>
    </row>
    <row r="147" customFormat="false" ht="18" hidden="false" customHeight="true" outlineLevel="0" collapsed="false">
      <c r="A147" s="57" t="n">
        <v>143</v>
      </c>
      <c r="B147" s="73" t="n">
        <f aca="false">B141</f>
        <v>0</v>
      </c>
      <c r="C147" s="6" t="s">
        <v>342</v>
      </c>
      <c r="D147" s="8" t="s">
        <v>343</v>
      </c>
      <c r="E147" s="71" t="n">
        <f aca="false">'Norms &amp; Assumptions'!B49</f>
        <v>0.05</v>
      </c>
      <c r="F147" s="63" t="n">
        <f aca="false">IF(B141="",2,IF(B141&gt;=DATE(2026,4,8),4,2))</f>
        <v>2</v>
      </c>
      <c r="G147" s="71" t="n">
        <f aca="false">E147*F147</f>
        <v>0.1</v>
      </c>
      <c r="H147" s="59"/>
      <c r="I147" s="72" t="str">
        <f aca="false">IF(H147="","",H147-G147)</f>
        <v/>
      </c>
      <c r="J147" s="33"/>
    </row>
    <row r="148" customFormat="false" ht="18" hidden="false" customHeight="true" outlineLevel="0" collapsed="false">
      <c r="A148" s="57" t="n">
        <v>144</v>
      </c>
      <c r="B148" s="73" t="n">
        <f aca="false">B141</f>
        <v>0</v>
      </c>
      <c r="C148" s="6" t="s">
        <v>98</v>
      </c>
      <c r="D148" s="8" t="s">
        <v>344</v>
      </c>
      <c r="E148" s="71" t="n">
        <f aca="false">'Norms &amp; Assumptions'!B50</f>
        <v>0.033</v>
      </c>
      <c r="F148" s="63" t="n">
        <f aca="false">IF(B141="",2,IF(B141&gt;=DATE(2026,4,8),4,2))</f>
        <v>2</v>
      </c>
      <c r="G148" s="71" t="n">
        <f aca="false">E148*F148</f>
        <v>0.066</v>
      </c>
      <c r="H148" s="59"/>
      <c r="I148" s="72" t="str">
        <f aca="false">IF(H148="","",H148-G148)</f>
        <v/>
      </c>
      <c r="J148" s="33"/>
    </row>
    <row r="149" customFormat="false" ht="18" hidden="false" customHeight="true" outlineLevel="0" collapsed="false">
      <c r="A149" s="57" t="n">
        <v>145</v>
      </c>
      <c r="B149" s="64"/>
      <c r="C149" s="6" t="s">
        <v>332</v>
      </c>
      <c r="D149" s="8" t="s">
        <v>333</v>
      </c>
      <c r="E149" s="71" t="n">
        <f aca="false">'Norms &amp; Assumptions'!B43</f>
        <v>2.5</v>
      </c>
      <c r="F149" s="63" t="n">
        <f aca="false">IF(B149="",2,IF(B149&gt;=DATE(2026,4,8),4,2))</f>
        <v>2</v>
      </c>
      <c r="G149" s="71" t="n">
        <f aca="false">E149*F149</f>
        <v>5</v>
      </c>
      <c r="H149" s="59"/>
      <c r="I149" s="72" t="str">
        <f aca="false">IF(H149="","",H149-G149)</f>
        <v/>
      </c>
      <c r="J149" s="33"/>
    </row>
    <row r="150" customFormat="false" ht="18" hidden="false" customHeight="true" outlineLevel="0" collapsed="false">
      <c r="A150" s="57" t="n">
        <v>146</v>
      </c>
      <c r="B150" s="73" t="n">
        <f aca="false">B149</f>
        <v>0</v>
      </c>
      <c r="C150" s="6" t="s">
        <v>81</v>
      </c>
      <c r="D150" s="8" t="s">
        <v>333</v>
      </c>
      <c r="E150" s="71" t="n">
        <f aca="false">'Norms &amp; Assumptions'!B44</f>
        <v>1.2</v>
      </c>
      <c r="F150" s="63" t="n">
        <f aca="false">IF(B149="",2,IF(B149&gt;=DATE(2026,4,8),4,2))</f>
        <v>2</v>
      </c>
      <c r="G150" s="71" t="n">
        <f aca="false">E150*F150</f>
        <v>2.4</v>
      </c>
      <c r="H150" s="59"/>
      <c r="I150" s="72" t="str">
        <f aca="false">IF(H150="","",H150-G150)</f>
        <v/>
      </c>
      <c r="J150" s="33"/>
    </row>
    <row r="151" customFormat="false" ht="18" hidden="false" customHeight="true" outlineLevel="0" collapsed="false">
      <c r="A151" s="57" t="n">
        <v>147</v>
      </c>
      <c r="B151" s="73" t="n">
        <f aca="false">B149</f>
        <v>0</v>
      </c>
      <c r="C151" s="6" t="s">
        <v>334</v>
      </c>
      <c r="D151" s="8" t="s">
        <v>335</v>
      </c>
      <c r="E151" s="71" t="n">
        <f aca="false">'Norms &amp; Assumptions'!B45</f>
        <v>0.5</v>
      </c>
      <c r="F151" s="63" t="n">
        <f aca="false">IF(B149="",2,IF(B149&gt;=DATE(2026,4,8),4,2))</f>
        <v>2</v>
      </c>
      <c r="G151" s="71" t="n">
        <f aca="false">E151*F151</f>
        <v>1</v>
      </c>
      <c r="H151" s="59"/>
      <c r="I151" s="72" t="str">
        <f aca="false">IF(H151="","",H151-G151)</f>
        <v/>
      </c>
      <c r="J151" s="33"/>
    </row>
    <row r="152" customFormat="false" ht="18" hidden="false" customHeight="true" outlineLevel="0" collapsed="false">
      <c r="A152" s="57" t="n">
        <v>148</v>
      </c>
      <c r="B152" s="73" t="n">
        <f aca="false">B149</f>
        <v>0</v>
      </c>
      <c r="C152" s="6" t="s">
        <v>336</v>
      </c>
      <c r="D152" s="8" t="s">
        <v>337</v>
      </c>
      <c r="E152" s="71" t="n">
        <f aca="false">'Norms &amp; Assumptions'!B46</f>
        <v>0.05</v>
      </c>
      <c r="F152" s="63" t="n">
        <f aca="false">IF(B149="",2,IF(B149&gt;=DATE(2026,4,8),4,2))</f>
        <v>2</v>
      </c>
      <c r="G152" s="71" t="n">
        <f aca="false">E152*F152</f>
        <v>0.1</v>
      </c>
      <c r="H152" s="59"/>
      <c r="I152" s="72" t="str">
        <f aca="false">IF(H152="","",H152-G152)</f>
        <v/>
      </c>
      <c r="J152" s="33"/>
    </row>
    <row r="153" customFormat="false" ht="18" hidden="false" customHeight="true" outlineLevel="0" collapsed="false">
      <c r="A153" s="57" t="n">
        <v>149</v>
      </c>
      <c r="B153" s="73" t="n">
        <f aca="false">B149</f>
        <v>0</v>
      </c>
      <c r="C153" s="6" t="s">
        <v>338</v>
      </c>
      <c r="D153" s="8" t="s">
        <v>339</v>
      </c>
      <c r="E153" s="71" t="n">
        <f aca="false">'Norms &amp; Assumptions'!B47</f>
        <v>0.2</v>
      </c>
      <c r="F153" s="63" t="n">
        <f aca="false">IF(B149="",2,IF(B149&gt;=DATE(2026,4,8),4,2))</f>
        <v>2</v>
      </c>
      <c r="G153" s="71" t="n">
        <f aca="false">E153*F153</f>
        <v>0.4</v>
      </c>
      <c r="H153" s="59"/>
      <c r="I153" s="72" t="str">
        <f aca="false">IF(H153="","",H153-G153)</f>
        <v/>
      </c>
      <c r="J153" s="33"/>
    </row>
    <row r="154" customFormat="false" ht="18" hidden="false" customHeight="true" outlineLevel="0" collapsed="false">
      <c r="A154" s="57" t="n">
        <v>150</v>
      </c>
      <c r="B154" s="73" t="n">
        <f aca="false">B149</f>
        <v>0</v>
      </c>
      <c r="C154" s="6" t="s">
        <v>340</v>
      </c>
      <c r="D154" s="8" t="s">
        <v>341</v>
      </c>
      <c r="E154" s="71" t="n">
        <f aca="false">'Norms &amp; Assumptions'!B48</f>
        <v>0.2</v>
      </c>
      <c r="F154" s="63" t="n">
        <f aca="false">IF(B149="",2,IF(B149&gt;=DATE(2026,4,8),4,2))</f>
        <v>2</v>
      </c>
      <c r="G154" s="71" t="n">
        <f aca="false">E154*F154</f>
        <v>0.4</v>
      </c>
      <c r="H154" s="59"/>
      <c r="I154" s="72" t="str">
        <f aca="false">IF(H154="","",H154-G154)</f>
        <v/>
      </c>
      <c r="J154" s="33"/>
    </row>
    <row r="155" customFormat="false" ht="18" hidden="false" customHeight="true" outlineLevel="0" collapsed="false">
      <c r="A155" s="57" t="n">
        <v>151</v>
      </c>
      <c r="B155" s="73" t="n">
        <f aca="false">B149</f>
        <v>0</v>
      </c>
      <c r="C155" s="6" t="s">
        <v>342</v>
      </c>
      <c r="D155" s="8" t="s">
        <v>343</v>
      </c>
      <c r="E155" s="71" t="n">
        <f aca="false">'Norms &amp; Assumptions'!B49</f>
        <v>0.05</v>
      </c>
      <c r="F155" s="63" t="n">
        <f aca="false">IF(B149="",2,IF(B149&gt;=DATE(2026,4,8),4,2))</f>
        <v>2</v>
      </c>
      <c r="G155" s="71" t="n">
        <f aca="false">E155*F155</f>
        <v>0.1</v>
      </c>
      <c r="H155" s="59"/>
      <c r="I155" s="72" t="str">
        <f aca="false">IF(H155="","",H155-G155)</f>
        <v/>
      </c>
      <c r="J155" s="33"/>
    </row>
    <row r="156" customFormat="false" ht="18" hidden="false" customHeight="true" outlineLevel="0" collapsed="false">
      <c r="A156" s="57" t="n">
        <v>152</v>
      </c>
      <c r="B156" s="73" t="n">
        <f aca="false">B149</f>
        <v>0</v>
      </c>
      <c r="C156" s="6" t="s">
        <v>98</v>
      </c>
      <c r="D156" s="8" t="s">
        <v>344</v>
      </c>
      <c r="E156" s="71" t="n">
        <f aca="false">'Norms &amp; Assumptions'!B50</f>
        <v>0.033</v>
      </c>
      <c r="F156" s="63" t="n">
        <f aca="false">IF(B149="",2,IF(B149&gt;=DATE(2026,4,8),4,2))</f>
        <v>2</v>
      </c>
      <c r="G156" s="71" t="n">
        <f aca="false">E156*F156</f>
        <v>0.066</v>
      </c>
      <c r="H156" s="59"/>
      <c r="I156" s="72" t="str">
        <f aca="false">IF(H156="","",H156-G156)</f>
        <v/>
      </c>
      <c r="J156" s="33"/>
    </row>
    <row r="157" customFormat="false" ht="18" hidden="false" customHeight="true" outlineLevel="0" collapsed="false">
      <c r="A157" s="57" t="n">
        <v>153</v>
      </c>
      <c r="B157" s="64"/>
      <c r="C157" s="6" t="s">
        <v>332</v>
      </c>
      <c r="D157" s="8" t="s">
        <v>333</v>
      </c>
      <c r="E157" s="71" t="n">
        <f aca="false">'Norms &amp; Assumptions'!B43</f>
        <v>2.5</v>
      </c>
      <c r="F157" s="63" t="n">
        <f aca="false">IF(B157="",2,IF(B157&gt;=DATE(2026,4,8),4,2))</f>
        <v>2</v>
      </c>
      <c r="G157" s="71" t="n">
        <f aca="false">E157*F157</f>
        <v>5</v>
      </c>
      <c r="H157" s="59"/>
      <c r="I157" s="72" t="str">
        <f aca="false">IF(H157="","",H157-G157)</f>
        <v/>
      </c>
      <c r="J157" s="33"/>
    </row>
    <row r="158" customFormat="false" ht="18" hidden="false" customHeight="true" outlineLevel="0" collapsed="false">
      <c r="A158" s="57" t="n">
        <v>154</v>
      </c>
      <c r="B158" s="73" t="n">
        <f aca="false">B157</f>
        <v>0</v>
      </c>
      <c r="C158" s="6" t="s">
        <v>81</v>
      </c>
      <c r="D158" s="8" t="s">
        <v>333</v>
      </c>
      <c r="E158" s="71" t="n">
        <f aca="false">'Norms &amp; Assumptions'!B44</f>
        <v>1.2</v>
      </c>
      <c r="F158" s="63" t="n">
        <f aca="false">IF(B157="",2,IF(B157&gt;=DATE(2026,4,8),4,2))</f>
        <v>2</v>
      </c>
      <c r="G158" s="71" t="n">
        <f aca="false">E158*F158</f>
        <v>2.4</v>
      </c>
      <c r="H158" s="59"/>
      <c r="I158" s="72" t="str">
        <f aca="false">IF(H158="","",H158-G158)</f>
        <v/>
      </c>
      <c r="J158" s="33"/>
    </row>
    <row r="159" customFormat="false" ht="18" hidden="false" customHeight="true" outlineLevel="0" collapsed="false">
      <c r="A159" s="57" t="n">
        <v>155</v>
      </c>
      <c r="B159" s="73" t="n">
        <f aca="false">B157</f>
        <v>0</v>
      </c>
      <c r="C159" s="6" t="s">
        <v>334</v>
      </c>
      <c r="D159" s="8" t="s">
        <v>335</v>
      </c>
      <c r="E159" s="71" t="n">
        <f aca="false">'Norms &amp; Assumptions'!B45</f>
        <v>0.5</v>
      </c>
      <c r="F159" s="63" t="n">
        <f aca="false">IF(B157="",2,IF(B157&gt;=DATE(2026,4,8),4,2))</f>
        <v>2</v>
      </c>
      <c r="G159" s="71" t="n">
        <f aca="false">E159*F159</f>
        <v>1</v>
      </c>
      <c r="H159" s="59"/>
      <c r="I159" s="72" t="str">
        <f aca="false">IF(H159="","",H159-G159)</f>
        <v/>
      </c>
      <c r="J159" s="33"/>
    </row>
    <row r="160" customFormat="false" ht="18" hidden="false" customHeight="true" outlineLevel="0" collapsed="false">
      <c r="A160" s="57" t="n">
        <v>156</v>
      </c>
      <c r="B160" s="73" t="n">
        <f aca="false">B157</f>
        <v>0</v>
      </c>
      <c r="C160" s="6" t="s">
        <v>336</v>
      </c>
      <c r="D160" s="8" t="s">
        <v>337</v>
      </c>
      <c r="E160" s="71" t="n">
        <f aca="false">'Norms &amp; Assumptions'!B46</f>
        <v>0.05</v>
      </c>
      <c r="F160" s="63" t="n">
        <f aca="false">IF(B157="",2,IF(B157&gt;=DATE(2026,4,8),4,2))</f>
        <v>2</v>
      </c>
      <c r="G160" s="71" t="n">
        <f aca="false">E160*F160</f>
        <v>0.1</v>
      </c>
      <c r="H160" s="59"/>
      <c r="I160" s="72" t="str">
        <f aca="false">IF(H160="","",H160-G160)</f>
        <v/>
      </c>
      <c r="J160" s="33"/>
    </row>
    <row r="161" customFormat="false" ht="18" hidden="false" customHeight="true" outlineLevel="0" collapsed="false">
      <c r="A161" s="57" t="n">
        <v>157</v>
      </c>
      <c r="B161" s="73" t="n">
        <f aca="false">B157</f>
        <v>0</v>
      </c>
      <c r="C161" s="6" t="s">
        <v>338</v>
      </c>
      <c r="D161" s="8" t="s">
        <v>339</v>
      </c>
      <c r="E161" s="71" t="n">
        <f aca="false">'Norms &amp; Assumptions'!B47</f>
        <v>0.2</v>
      </c>
      <c r="F161" s="63" t="n">
        <f aca="false">IF(B157="",2,IF(B157&gt;=DATE(2026,4,8),4,2))</f>
        <v>2</v>
      </c>
      <c r="G161" s="71" t="n">
        <f aca="false">E161*F161</f>
        <v>0.4</v>
      </c>
      <c r="H161" s="59"/>
      <c r="I161" s="72" t="str">
        <f aca="false">IF(H161="","",H161-G161)</f>
        <v/>
      </c>
      <c r="J161" s="33"/>
    </row>
    <row r="162" customFormat="false" ht="18" hidden="false" customHeight="true" outlineLevel="0" collapsed="false">
      <c r="A162" s="57" t="n">
        <v>158</v>
      </c>
      <c r="B162" s="73" t="n">
        <f aca="false">B157</f>
        <v>0</v>
      </c>
      <c r="C162" s="6" t="s">
        <v>340</v>
      </c>
      <c r="D162" s="8" t="s">
        <v>341</v>
      </c>
      <c r="E162" s="71" t="n">
        <f aca="false">'Norms &amp; Assumptions'!B48</f>
        <v>0.2</v>
      </c>
      <c r="F162" s="63" t="n">
        <f aca="false">IF(B157="",2,IF(B157&gt;=DATE(2026,4,8),4,2))</f>
        <v>2</v>
      </c>
      <c r="G162" s="71" t="n">
        <f aca="false">E162*F162</f>
        <v>0.4</v>
      </c>
      <c r="H162" s="59"/>
      <c r="I162" s="72" t="str">
        <f aca="false">IF(H162="","",H162-G162)</f>
        <v/>
      </c>
      <c r="J162" s="33"/>
    </row>
    <row r="163" customFormat="false" ht="18" hidden="false" customHeight="true" outlineLevel="0" collapsed="false">
      <c r="A163" s="57" t="n">
        <v>159</v>
      </c>
      <c r="B163" s="73" t="n">
        <f aca="false">B157</f>
        <v>0</v>
      </c>
      <c r="C163" s="6" t="s">
        <v>342</v>
      </c>
      <c r="D163" s="8" t="s">
        <v>343</v>
      </c>
      <c r="E163" s="71" t="n">
        <f aca="false">'Norms &amp; Assumptions'!B49</f>
        <v>0.05</v>
      </c>
      <c r="F163" s="63" t="n">
        <f aca="false">IF(B157="",2,IF(B157&gt;=DATE(2026,4,8),4,2))</f>
        <v>2</v>
      </c>
      <c r="G163" s="71" t="n">
        <f aca="false">E163*F163</f>
        <v>0.1</v>
      </c>
      <c r="H163" s="59"/>
      <c r="I163" s="72" t="str">
        <f aca="false">IF(H163="","",H163-G163)</f>
        <v/>
      </c>
      <c r="J163" s="33"/>
    </row>
    <row r="164" customFormat="false" ht="18" hidden="false" customHeight="true" outlineLevel="0" collapsed="false">
      <c r="A164" s="57" t="n">
        <v>160</v>
      </c>
      <c r="B164" s="73" t="n">
        <f aca="false">B157</f>
        <v>0</v>
      </c>
      <c r="C164" s="6" t="s">
        <v>98</v>
      </c>
      <c r="D164" s="8" t="s">
        <v>344</v>
      </c>
      <c r="E164" s="71" t="n">
        <f aca="false">'Norms &amp; Assumptions'!B50</f>
        <v>0.033</v>
      </c>
      <c r="F164" s="63" t="n">
        <f aca="false">IF(B157="",2,IF(B157&gt;=DATE(2026,4,8),4,2))</f>
        <v>2</v>
      </c>
      <c r="G164" s="71" t="n">
        <f aca="false">E164*F164</f>
        <v>0.066</v>
      </c>
      <c r="H164" s="59"/>
      <c r="I164" s="72" t="str">
        <f aca="false">IF(H164="","",H164-G164)</f>
        <v/>
      </c>
      <c r="J164" s="33"/>
    </row>
    <row r="165" customFormat="false" ht="18" hidden="false" customHeight="true" outlineLevel="0" collapsed="false">
      <c r="A165" s="57" t="n">
        <v>161</v>
      </c>
      <c r="B165" s="64"/>
      <c r="C165" s="6" t="s">
        <v>332</v>
      </c>
      <c r="D165" s="8" t="s">
        <v>333</v>
      </c>
      <c r="E165" s="71" t="n">
        <f aca="false">'Norms &amp; Assumptions'!B43</f>
        <v>2.5</v>
      </c>
      <c r="F165" s="63" t="n">
        <f aca="false">IF(B165="",2,IF(B165&gt;=DATE(2026,4,8),4,2))</f>
        <v>2</v>
      </c>
      <c r="G165" s="71" t="n">
        <f aca="false">E165*F165</f>
        <v>5</v>
      </c>
      <c r="H165" s="59"/>
      <c r="I165" s="72" t="str">
        <f aca="false">IF(H165="","",H165-G165)</f>
        <v/>
      </c>
      <c r="J165" s="33"/>
    </row>
    <row r="166" customFormat="false" ht="18" hidden="false" customHeight="true" outlineLevel="0" collapsed="false">
      <c r="A166" s="57" t="n">
        <v>162</v>
      </c>
      <c r="B166" s="73" t="n">
        <f aca="false">B165</f>
        <v>0</v>
      </c>
      <c r="C166" s="6" t="s">
        <v>81</v>
      </c>
      <c r="D166" s="8" t="s">
        <v>333</v>
      </c>
      <c r="E166" s="71" t="n">
        <f aca="false">'Norms &amp; Assumptions'!B44</f>
        <v>1.2</v>
      </c>
      <c r="F166" s="63" t="n">
        <f aca="false">IF(B165="",2,IF(B165&gt;=DATE(2026,4,8),4,2))</f>
        <v>2</v>
      </c>
      <c r="G166" s="71" t="n">
        <f aca="false">E166*F166</f>
        <v>2.4</v>
      </c>
      <c r="H166" s="59"/>
      <c r="I166" s="72" t="str">
        <f aca="false">IF(H166="","",H166-G166)</f>
        <v/>
      </c>
      <c r="J166" s="33"/>
    </row>
    <row r="167" customFormat="false" ht="18" hidden="false" customHeight="true" outlineLevel="0" collapsed="false">
      <c r="A167" s="57" t="n">
        <v>163</v>
      </c>
      <c r="B167" s="73" t="n">
        <f aca="false">B165</f>
        <v>0</v>
      </c>
      <c r="C167" s="6" t="s">
        <v>334</v>
      </c>
      <c r="D167" s="8" t="s">
        <v>335</v>
      </c>
      <c r="E167" s="71" t="n">
        <f aca="false">'Norms &amp; Assumptions'!B45</f>
        <v>0.5</v>
      </c>
      <c r="F167" s="63" t="n">
        <f aca="false">IF(B165="",2,IF(B165&gt;=DATE(2026,4,8),4,2))</f>
        <v>2</v>
      </c>
      <c r="G167" s="71" t="n">
        <f aca="false">E167*F167</f>
        <v>1</v>
      </c>
      <c r="H167" s="59"/>
      <c r="I167" s="72" t="str">
        <f aca="false">IF(H167="","",H167-G167)</f>
        <v/>
      </c>
      <c r="J167" s="33"/>
    </row>
    <row r="168" customFormat="false" ht="18" hidden="false" customHeight="true" outlineLevel="0" collapsed="false">
      <c r="A168" s="57" t="n">
        <v>164</v>
      </c>
      <c r="B168" s="73" t="n">
        <f aca="false">B165</f>
        <v>0</v>
      </c>
      <c r="C168" s="6" t="s">
        <v>336</v>
      </c>
      <c r="D168" s="8" t="s">
        <v>337</v>
      </c>
      <c r="E168" s="71" t="n">
        <f aca="false">'Norms &amp; Assumptions'!B46</f>
        <v>0.05</v>
      </c>
      <c r="F168" s="63" t="n">
        <f aca="false">IF(B165="",2,IF(B165&gt;=DATE(2026,4,8),4,2))</f>
        <v>2</v>
      </c>
      <c r="G168" s="71" t="n">
        <f aca="false">E168*F168</f>
        <v>0.1</v>
      </c>
      <c r="H168" s="59"/>
      <c r="I168" s="72" t="str">
        <f aca="false">IF(H168="","",H168-G168)</f>
        <v/>
      </c>
      <c r="J168" s="33"/>
    </row>
    <row r="169" customFormat="false" ht="18" hidden="false" customHeight="true" outlineLevel="0" collapsed="false">
      <c r="A169" s="57" t="n">
        <v>165</v>
      </c>
      <c r="B169" s="73" t="n">
        <f aca="false">B165</f>
        <v>0</v>
      </c>
      <c r="C169" s="6" t="s">
        <v>338</v>
      </c>
      <c r="D169" s="8" t="s">
        <v>339</v>
      </c>
      <c r="E169" s="71" t="n">
        <f aca="false">'Norms &amp; Assumptions'!B47</f>
        <v>0.2</v>
      </c>
      <c r="F169" s="63" t="n">
        <f aca="false">IF(B165="",2,IF(B165&gt;=DATE(2026,4,8),4,2))</f>
        <v>2</v>
      </c>
      <c r="G169" s="71" t="n">
        <f aca="false">E169*F169</f>
        <v>0.4</v>
      </c>
      <c r="H169" s="59"/>
      <c r="I169" s="72" t="str">
        <f aca="false">IF(H169="","",H169-G169)</f>
        <v/>
      </c>
      <c r="J169" s="33"/>
    </row>
    <row r="170" customFormat="false" ht="18" hidden="false" customHeight="true" outlineLevel="0" collapsed="false">
      <c r="A170" s="57" t="n">
        <v>166</v>
      </c>
      <c r="B170" s="73" t="n">
        <f aca="false">B165</f>
        <v>0</v>
      </c>
      <c r="C170" s="6" t="s">
        <v>340</v>
      </c>
      <c r="D170" s="8" t="s">
        <v>341</v>
      </c>
      <c r="E170" s="71" t="n">
        <f aca="false">'Norms &amp; Assumptions'!B48</f>
        <v>0.2</v>
      </c>
      <c r="F170" s="63" t="n">
        <f aca="false">IF(B165="",2,IF(B165&gt;=DATE(2026,4,8),4,2))</f>
        <v>2</v>
      </c>
      <c r="G170" s="71" t="n">
        <f aca="false">E170*F170</f>
        <v>0.4</v>
      </c>
      <c r="H170" s="59"/>
      <c r="I170" s="72" t="str">
        <f aca="false">IF(H170="","",H170-G170)</f>
        <v/>
      </c>
      <c r="J170" s="33"/>
    </row>
    <row r="171" customFormat="false" ht="18" hidden="false" customHeight="true" outlineLevel="0" collapsed="false">
      <c r="A171" s="57" t="n">
        <v>167</v>
      </c>
      <c r="B171" s="73" t="n">
        <f aca="false">B165</f>
        <v>0</v>
      </c>
      <c r="C171" s="6" t="s">
        <v>342</v>
      </c>
      <c r="D171" s="8" t="s">
        <v>343</v>
      </c>
      <c r="E171" s="71" t="n">
        <f aca="false">'Norms &amp; Assumptions'!B49</f>
        <v>0.05</v>
      </c>
      <c r="F171" s="63" t="n">
        <f aca="false">IF(B165="",2,IF(B165&gt;=DATE(2026,4,8),4,2))</f>
        <v>2</v>
      </c>
      <c r="G171" s="71" t="n">
        <f aca="false">E171*F171</f>
        <v>0.1</v>
      </c>
      <c r="H171" s="59"/>
      <c r="I171" s="72" t="str">
        <f aca="false">IF(H171="","",H171-G171)</f>
        <v/>
      </c>
      <c r="J171" s="33"/>
    </row>
    <row r="172" customFormat="false" ht="18" hidden="false" customHeight="true" outlineLevel="0" collapsed="false">
      <c r="A172" s="57" t="n">
        <v>168</v>
      </c>
      <c r="B172" s="73" t="n">
        <f aca="false">B165</f>
        <v>0</v>
      </c>
      <c r="C172" s="6" t="s">
        <v>98</v>
      </c>
      <c r="D172" s="8" t="s">
        <v>344</v>
      </c>
      <c r="E172" s="71" t="n">
        <f aca="false">'Norms &amp; Assumptions'!B50</f>
        <v>0.033</v>
      </c>
      <c r="F172" s="63" t="n">
        <f aca="false">IF(B165="",2,IF(B165&gt;=DATE(2026,4,8),4,2))</f>
        <v>2</v>
      </c>
      <c r="G172" s="71" t="n">
        <f aca="false">E172*F172</f>
        <v>0.066</v>
      </c>
      <c r="H172" s="59"/>
      <c r="I172" s="72" t="str">
        <f aca="false">IF(H172="","",H172-G172)</f>
        <v/>
      </c>
      <c r="J172" s="33"/>
    </row>
    <row r="173" customFormat="false" ht="18" hidden="false" customHeight="true" outlineLevel="0" collapsed="false">
      <c r="A173" s="57" t="n">
        <v>169</v>
      </c>
      <c r="B173" s="64"/>
      <c r="C173" s="6" t="s">
        <v>332</v>
      </c>
      <c r="D173" s="8" t="s">
        <v>333</v>
      </c>
      <c r="E173" s="71" t="n">
        <f aca="false">'Norms &amp; Assumptions'!B43</f>
        <v>2.5</v>
      </c>
      <c r="F173" s="63" t="n">
        <f aca="false">IF(B173="",2,IF(B173&gt;=DATE(2026,4,8),4,2))</f>
        <v>2</v>
      </c>
      <c r="G173" s="71" t="n">
        <f aca="false">E173*F173</f>
        <v>5</v>
      </c>
      <c r="H173" s="59"/>
      <c r="I173" s="72" t="str">
        <f aca="false">IF(H173="","",H173-G173)</f>
        <v/>
      </c>
      <c r="J173" s="33"/>
    </row>
    <row r="174" customFormat="false" ht="18" hidden="false" customHeight="true" outlineLevel="0" collapsed="false">
      <c r="A174" s="57" t="n">
        <v>170</v>
      </c>
      <c r="B174" s="73" t="n">
        <f aca="false">B173</f>
        <v>0</v>
      </c>
      <c r="C174" s="6" t="s">
        <v>81</v>
      </c>
      <c r="D174" s="8" t="s">
        <v>333</v>
      </c>
      <c r="E174" s="71" t="n">
        <f aca="false">'Norms &amp; Assumptions'!B44</f>
        <v>1.2</v>
      </c>
      <c r="F174" s="63" t="n">
        <f aca="false">IF(B173="",2,IF(B173&gt;=DATE(2026,4,8),4,2))</f>
        <v>2</v>
      </c>
      <c r="G174" s="71" t="n">
        <f aca="false">E174*F174</f>
        <v>2.4</v>
      </c>
      <c r="H174" s="59"/>
      <c r="I174" s="72" t="str">
        <f aca="false">IF(H174="","",H174-G174)</f>
        <v/>
      </c>
      <c r="J174" s="33"/>
    </row>
    <row r="175" customFormat="false" ht="18" hidden="false" customHeight="true" outlineLevel="0" collapsed="false">
      <c r="A175" s="57" t="n">
        <v>171</v>
      </c>
      <c r="B175" s="73" t="n">
        <f aca="false">B173</f>
        <v>0</v>
      </c>
      <c r="C175" s="6" t="s">
        <v>334</v>
      </c>
      <c r="D175" s="8" t="s">
        <v>335</v>
      </c>
      <c r="E175" s="71" t="n">
        <f aca="false">'Norms &amp; Assumptions'!B45</f>
        <v>0.5</v>
      </c>
      <c r="F175" s="63" t="n">
        <f aca="false">IF(B173="",2,IF(B173&gt;=DATE(2026,4,8),4,2))</f>
        <v>2</v>
      </c>
      <c r="G175" s="71" t="n">
        <f aca="false">E175*F175</f>
        <v>1</v>
      </c>
      <c r="H175" s="59"/>
      <c r="I175" s="72" t="str">
        <f aca="false">IF(H175="","",H175-G175)</f>
        <v/>
      </c>
      <c r="J175" s="33"/>
    </row>
    <row r="176" customFormat="false" ht="18" hidden="false" customHeight="true" outlineLevel="0" collapsed="false">
      <c r="A176" s="57" t="n">
        <v>172</v>
      </c>
      <c r="B176" s="73" t="n">
        <f aca="false">B173</f>
        <v>0</v>
      </c>
      <c r="C176" s="6" t="s">
        <v>336</v>
      </c>
      <c r="D176" s="8" t="s">
        <v>337</v>
      </c>
      <c r="E176" s="71" t="n">
        <f aca="false">'Norms &amp; Assumptions'!B46</f>
        <v>0.05</v>
      </c>
      <c r="F176" s="63" t="n">
        <f aca="false">IF(B173="",2,IF(B173&gt;=DATE(2026,4,8),4,2))</f>
        <v>2</v>
      </c>
      <c r="G176" s="71" t="n">
        <f aca="false">E176*F176</f>
        <v>0.1</v>
      </c>
      <c r="H176" s="59"/>
      <c r="I176" s="72" t="str">
        <f aca="false">IF(H176="","",H176-G176)</f>
        <v/>
      </c>
      <c r="J176" s="33"/>
    </row>
    <row r="177" customFormat="false" ht="18" hidden="false" customHeight="true" outlineLevel="0" collapsed="false">
      <c r="A177" s="57" t="n">
        <v>173</v>
      </c>
      <c r="B177" s="73" t="n">
        <f aca="false">B173</f>
        <v>0</v>
      </c>
      <c r="C177" s="6" t="s">
        <v>338</v>
      </c>
      <c r="D177" s="8" t="s">
        <v>339</v>
      </c>
      <c r="E177" s="71" t="n">
        <f aca="false">'Norms &amp; Assumptions'!B47</f>
        <v>0.2</v>
      </c>
      <c r="F177" s="63" t="n">
        <f aca="false">IF(B173="",2,IF(B173&gt;=DATE(2026,4,8),4,2))</f>
        <v>2</v>
      </c>
      <c r="G177" s="71" t="n">
        <f aca="false">E177*F177</f>
        <v>0.4</v>
      </c>
      <c r="H177" s="59"/>
      <c r="I177" s="72" t="str">
        <f aca="false">IF(H177="","",H177-G177)</f>
        <v/>
      </c>
      <c r="J177" s="33"/>
    </row>
    <row r="178" customFormat="false" ht="18" hidden="false" customHeight="true" outlineLevel="0" collapsed="false">
      <c r="A178" s="57" t="n">
        <v>174</v>
      </c>
      <c r="B178" s="73" t="n">
        <f aca="false">B173</f>
        <v>0</v>
      </c>
      <c r="C178" s="6" t="s">
        <v>340</v>
      </c>
      <c r="D178" s="8" t="s">
        <v>341</v>
      </c>
      <c r="E178" s="71" t="n">
        <f aca="false">'Norms &amp; Assumptions'!B48</f>
        <v>0.2</v>
      </c>
      <c r="F178" s="63" t="n">
        <f aca="false">IF(B173="",2,IF(B173&gt;=DATE(2026,4,8),4,2))</f>
        <v>2</v>
      </c>
      <c r="G178" s="71" t="n">
        <f aca="false">E178*F178</f>
        <v>0.4</v>
      </c>
      <c r="H178" s="59"/>
      <c r="I178" s="72" t="str">
        <f aca="false">IF(H178="","",H178-G178)</f>
        <v/>
      </c>
      <c r="J178" s="33"/>
    </row>
    <row r="179" customFormat="false" ht="18" hidden="false" customHeight="true" outlineLevel="0" collapsed="false">
      <c r="A179" s="57" t="n">
        <v>175</v>
      </c>
      <c r="B179" s="73" t="n">
        <f aca="false">B173</f>
        <v>0</v>
      </c>
      <c r="C179" s="6" t="s">
        <v>342</v>
      </c>
      <c r="D179" s="8" t="s">
        <v>343</v>
      </c>
      <c r="E179" s="71" t="n">
        <f aca="false">'Norms &amp; Assumptions'!B49</f>
        <v>0.05</v>
      </c>
      <c r="F179" s="63" t="n">
        <f aca="false">IF(B173="",2,IF(B173&gt;=DATE(2026,4,8),4,2))</f>
        <v>2</v>
      </c>
      <c r="G179" s="71" t="n">
        <f aca="false">E179*F179</f>
        <v>0.1</v>
      </c>
      <c r="H179" s="59"/>
      <c r="I179" s="72" t="str">
        <f aca="false">IF(H179="","",H179-G179)</f>
        <v/>
      </c>
      <c r="J179" s="33"/>
    </row>
    <row r="180" customFormat="false" ht="18" hidden="false" customHeight="true" outlineLevel="0" collapsed="false">
      <c r="A180" s="57" t="n">
        <v>176</v>
      </c>
      <c r="B180" s="73" t="n">
        <f aca="false">B173</f>
        <v>0</v>
      </c>
      <c r="C180" s="6" t="s">
        <v>98</v>
      </c>
      <c r="D180" s="8" t="s">
        <v>344</v>
      </c>
      <c r="E180" s="71" t="n">
        <f aca="false">'Norms &amp; Assumptions'!B50</f>
        <v>0.033</v>
      </c>
      <c r="F180" s="63" t="n">
        <f aca="false">IF(B173="",2,IF(B173&gt;=DATE(2026,4,8),4,2))</f>
        <v>2</v>
      </c>
      <c r="G180" s="71" t="n">
        <f aca="false">E180*F180</f>
        <v>0.066</v>
      </c>
      <c r="H180" s="59"/>
      <c r="I180" s="72" t="str">
        <f aca="false">IF(H180="","",H180-G180)</f>
        <v/>
      </c>
      <c r="J180" s="33"/>
    </row>
    <row r="181" customFormat="false" ht="18" hidden="false" customHeight="true" outlineLevel="0" collapsed="false">
      <c r="A181" s="57" t="n">
        <v>177</v>
      </c>
      <c r="B181" s="64"/>
      <c r="C181" s="6" t="s">
        <v>332</v>
      </c>
      <c r="D181" s="8" t="s">
        <v>333</v>
      </c>
      <c r="E181" s="71" t="n">
        <f aca="false">'Norms &amp; Assumptions'!B43</f>
        <v>2.5</v>
      </c>
      <c r="F181" s="63" t="n">
        <f aca="false">IF(B181="",2,IF(B181&gt;=DATE(2026,4,8),4,2))</f>
        <v>2</v>
      </c>
      <c r="G181" s="71" t="n">
        <f aca="false">E181*F181</f>
        <v>5</v>
      </c>
      <c r="H181" s="59"/>
      <c r="I181" s="72" t="str">
        <f aca="false">IF(H181="","",H181-G181)</f>
        <v/>
      </c>
      <c r="J181" s="33"/>
    </row>
    <row r="182" customFormat="false" ht="18" hidden="false" customHeight="true" outlineLevel="0" collapsed="false">
      <c r="A182" s="57" t="n">
        <v>178</v>
      </c>
      <c r="B182" s="73" t="n">
        <f aca="false">B181</f>
        <v>0</v>
      </c>
      <c r="C182" s="6" t="s">
        <v>81</v>
      </c>
      <c r="D182" s="8" t="s">
        <v>333</v>
      </c>
      <c r="E182" s="71" t="n">
        <f aca="false">'Norms &amp; Assumptions'!B44</f>
        <v>1.2</v>
      </c>
      <c r="F182" s="63" t="n">
        <f aca="false">IF(B181="",2,IF(B181&gt;=DATE(2026,4,8),4,2))</f>
        <v>2</v>
      </c>
      <c r="G182" s="71" t="n">
        <f aca="false">E182*F182</f>
        <v>2.4</v>
      </c>
      <c r="H182" s="59"/>
      <c r="I182" s="72" t="str">
        <f aca="false">IF(H182="","",H182-G182)</f>
        <v/>
      </c>
      <c r="J182" s="33"/>
    </row>
    <row r="183" customFormat="false" ht="18" hidden="false" customHeight="true" outlineLevel="0" collapsed="false">
      <c r="A183" s="57" t="n">
        <v>179</v>
      </c>
      <c r="B183" s="73" t="n">
        <f aca="false">B181</f>
        <v>0</v>
      </c>
      <c r="C183" s="6" t="s">
        <v>334</v>
      </c>
      <c r="D183" s="8" t="s">
        <v>335</v>
      </c>
      <c r="E183" s="71" t="n">
        <f aca="false">'Norms &amp; Assumptions'!B45</f>
        <v>0.5</v>
      </c>
      <c r="F183" s="63" t="n">
        <f aca="false">IF(B181="",2,IF(B181&gt;=DATE(2026,4,8),4,2))</f>
        <v>2</v>
      </c>
      <c r="G183" s="71" t="n">
        <f aca="false">E183*F183</f>
        <v>1</v>
      </c>
      <c r="H183" s="59"/>
      <c r="I183" s="72" t="str">
        <f aca="false">IF(H183="","",H183-G183)</f>
        <v/>
      </c>
      <c r="J183" s="33"/>
    </row>
    <row r="184" customFormat="false" ht="18" hidden="false" customHeight="true" outlineLevel="0" collapsed="false">
      <c r="A184" s="57" t="n">
        <v>180</v>
      </c>
      <c r="B184" s="73" t="n">
        <f aca="false">B181</f>
        <v>0</v>
      </c>
      <c r="C184" s="6" t="s">
        <v>336</v>
      </c>
      <c r="D184" s="8" t="s">
        <v>337</v>
      </c>
      <c r="E184" s="71" t="n">
        <f aca="false">'Norms &amp; Assumptions'!B46</f>
        <v>0.05</v>
      </c>
      <c r="F184" s="63" t="n">
        <f aca="false">IF(B181="",2,IF(B181&gt;=DATE(2026,4,8),4,2))</f>
        <v>2</v>
      </c>
      <c r="G184" s="71" t="n">
        <f aca="false">E184*F184</f>
        <v>0.1</v>
      </c>
      <c r="H184" s="59"/>
      <c r="I184" s="72" t="str">
        <f aca="false">IF(H184="","",H184-G184)</f>
        <v/>
      </c>
      <c r="J184" s="33"/>
    </row>
    <row r="185" customFormat="false" ht="18" hidden="false" customHeight="true" outlineLevel="0" collapsed="false">
      <c r="A185" s="57" t="n">
        <v>181</v>
      </c>
      <c r="B185" s="73" t="n">
        <f aca="false">B181</f>
        <v>0</v>
      </c>
      <c r="C185" s="6" t="s">
        <v>338</v>
      </c>
      <c r="D185" s="8" t="s">
        <v>339</v>
      </c>
      <c r="E185" s="71" t="n">
        <f aca="false">'Norms &amp; Assumptions'!B47</f>
        <v>0.2</v>
      </c>
      <c r="F185" s="63" t="n">
        <f aca="false">IF(B181="",2,IF(B181&gt;=DATE(2026,4,8),4,2))</f>
        <v>2</v>
      </c>
      <c r="G185" s="71" t="n">
        <f aca="false">E185*F185</f>
        <v>0.4</v>
      </c>
      <c r="H185" s="59"/>
      <c r="I185" s="72" t="str">
        <f aca="false">IF(H185="","",H185-G185)</f>
        <v/>
      </c>
      <c r="J185" s="33"/>
    </row>
    <row r="186" customFormat="false" ht="18" hidden="false" customHeight="true" outlineLevel="0" collapsed="false">
      <c r="A186" s="57" t="n">
        <v>182</v>
      </c>
      <c r="B186" s="73" t="n">
        <f aca="false">B181</f>
        <v>0</v>
      </c>
      <c r="C186" s="6" t="s">
        <v>340</v>
      </c>
      <c r="D186" s="8" t="s">
        <v>341</v>
      </c>
      <c r="E186" s="71" t="n">
        <f aca="false">'Norms &amp; Assumptions'!B48</f>
        <v>0.2</v>
      </c>
      <c r="F186" s="63" t="n">
        <f aca="false">IF(B181="",2,IF(B181&gt;=DATE(2026,4,8),4,2))</f>
        <v>2</v>
      </c>
      <c r="G186" s="71" t="n">
        <f aca="false">E186*F186</f>
        <v>0.4</v>
      </c>
      <c r="H186" s="59"/>
      <c r="I186" s="72" t="str">
        <f aca="false">IF(H186="","",H186-G186)</f>
        <v/>
      </c>
      <c r="J186" s="33"/>
    </row>
    <row r="187" customFormat="false" ht="18" hidden="false" customHeight="true" outlineLevel="0" collapsed="false">
      <c r="A187" s="57" t="n">
        <v>183</v>
      </c>
      <c r="B187" s="73" t="n">
        <f aca="false">B181</f>
        <v>0</v>
      </c>
      <c r="C187" s="6" t="s">
        <v>342</v>
      </c>
      <c r="D187" s="8" t="s">
        <v>343</v>
      </c>
      <c r="E187" s="71" t="n">
        <f aca="false">'Norms &amp; Assumptions'!B49</f>
        <v>0.05</v>
      </c>
      <c r="F187" s="63" t="n">
        <f aca="false">IF(B181="",2,IF(B181&gt;=DATE(2026,4,8),4,2))</f>
        <v>2</v>
      </c>
      <c r="G187" s="71" t="n">
        <f aca="false">E187*F187</f>
        <v>0.1</v>
      </c>
      <c r="H187" s="59"/>
      <c r="I187" s="72" t="str">
        <f aca="false">IF(H187="","",H187-G187)</f>
        <v/>
      </c>
      <c r="J187" s="33"/>
    </row>
    <row r="188" customFormat="false" ht="18" hidden="false" customHeight="true" outlineLevel="0" collapsed="false">
      <c r="A188" s="57" t="n">
        <v>184</v>
      </c>
      <c r="B188" s="73" t="n">
        <f aca="false">B181</f>
        <v>0</v>
      </c>
      <c r="C188" s="6" t="s">
        <v>98</v>
      </c>
      <c r="D188" s="8" t="s">
        <v>344</v>
      </c>
      <c r="E188" s="71" t="n">
        <f aca="false">'Norms &amp; Assumptions'!B50</f>
        <v>0.033</v>
      </c>
      <c r="F188" s="63" t="n">
        <f aca="false">IF(B181="",2,IF(B181&gt;=DATE(2026,4,8),4,2))</f>
        <v>2</v>
      </c>
      <c r="G188" s="71" t="n">
        <f aca="false">E188*F188</f>
        <v>0.066</v>
      </c>
      <c r="H188" s="59"/>
      <c r="I188" s="72" t="str">
        <f aca="false">IF(H188="","",H188-G188)</f>
        <v/>
      </c>
      <c r="J188" s="33"/>
    </row>
    <row r="189" customFormat="false" ht="18" hidden="false" customHeight="true" outlineLevel="0" collapsed="false">
      <c r="A189" s="57" t="n">
        <v>185</v>
      </c>
      <c r="B189" s="64"/>
      <c r="C189" s="6" t="s">
        <v>332</v>
      </c>
      <c r="D189" s="8" t="s">
        <v>333</v>
      </c>
      <c r="E189" s="71" t="n">
        <f aca="false">'Norms &amp; Assumptions'!B43</f>
        <v>2.5</v>
      </c>
      <c r="F189" s="63" t="n">
        <f aca="false">IF(B189="",2,IF(B189&gt;=DATE(2026,4,8),4,2))</f>
        <v>2</v>
      </c>
      <c r="G189" s="71" t="n">
        <f aca="false">E189*F189</f>
        <v>5</v>
      </c>
      <c r="H189" s="59"/>
      <c r="I189" s="72" t="str">
        <f aca="false">IF(H189="","",H189-G189)</f>
        <v/>
      </c>
      <c r="J189" s="33"/>
    </row>
    <row r="190" customFormat="false" ht="18" hidden="false" customHeight="true" outlineLevel="0" collapsed="false">
      <c r="A190" s="57" t="n">
        <v>186</v>
      </c>
      <c r="B190" s="73" t="n">
        <f aca="false">B189</f>
        <v>0</v>
      </c>
      <c r="C190" s="6" t="s">
        <v>81</v>
      </c>
      <c r="D190" s="8" t="s">
        <v>333</v>
      </c>
      <c r="E190" s="71" t="n">
        <f aca="false">'Norms &amp; Assumptions'!B44</f>
        <v>1.2</v>
      </c>
      <c r="F190" s="63" t="n">
        <f aca="false">IF(B189="",2,IF(B189&gt;=DATE(2026,4,8),4,2))</f>
        <v>2</v>
      </c>
      <c r="G190" s="71" t="n">
        <f aca="false">E190*F190</f>
        <v>2.4</v>
      </c>
      <c r="H190" s="59"/>
      <c r="I190" s="72" t="str">
        <f aca="false">IF(H190="","",H190-G190)</f>
        <v/>
      </c>
      <c r="J190" s="33"/>
    </row>
    <row r="191" customFormat="false" ht="18" hidden="false" customHeight="true" outlineLevel="0" collapsed="false">
      <c r="A191" s="57" t="n">
        <v>187</v>
      </c>
      <c r="B191" s="73" t="n">
        <f aca="false">B189</f>
        <v>0</v>
      </c>
      <c r="C191" s="6" t="s">
        <v>334</v>
      </c>
      <c r="D191" s="8" t="s">
        <v>335</v>
      </c>
      <c r="E191" s="71" t="n">
        <f aca="false">'Norms &amp; Assumptions'!B45</f>
        <v>0.5</v>
      </c>
      <c r="F191" s="63" t="n">
        <f aca="false">IF(B189="",2,IF(B189&gt;=DATE(2026,4,8),4,2))</f>
        <v>2</v>
      </c>
      <c r="G191" s="71" t="n">
        <f aca="false">E191*F191</f>
        <v>1</v>
      </c>
      <c r="H191" s="59"/>
      <c r="I191" s="72" t="str">
        <f aca="false">IF(H191="","",H191-G191)</f>
        <v/>
      </c>
      <c r="J191" s="33"/>
    </row>
    <row r="192" customFormat="false" ht="18" hidden="false" customHeight="true" outlineLevel="0" collapsed="false">
      <c r="A192" s="57" t="n">
        <v>188</v>
      </c>
      <c r="B192" s="73" t="n">
        <f aca="false">B189</f>
        <v>0</v>
      </c>
      <c r="C192" s="6" t="s">
        <v>336</v>
      </c>
      <c r="D192" s="8" t="s">
        <v>337</v>
      </c>
      <c r="E192" s="71" t="n">
        <f aca="false">'Norms &amp; Assumptions'!B46</f>
        <v>0.05</v>
      </c>
      <c r="F192" s="63" t="n">
        <f aca="false">IF(B189="",2,IF(B189&gt;=DATE(2026,4,8),4,2))</f>
        <v>2</v>
      </c>
      <c r="G192" s="71" t="n">
        <f aca="false">E192*F192</f>
        <v>0.1</v>
      </c>
      <c r="H192" s="59"/>
      <c r="I192" s="72" t="str">
        <f aca="false">IF(H192="","",H192-G192)</f>
        <v/>
      </c>
      <c r="J192" s="33"/>
    </row>
    <row r="193" customFormat="false" ht="18" hidden="false" customHeight="true" outlineLevel="0" collapsed="false">
      <c r="A193" s="57" t="n">
        <v>189</v>
      </c>
      <c r="B193" s="73" t="n">
        <f aca="false">B189</f>
        <v>0</v>
      </c>
      <c r="C193" s="6" t="s">
        <v>338</v>
      </c>
      <c r="D193" s="8" t="s">
        <v>339</v>
      </c>
      <c r="E193" s="71" t="n">
        <f aca="false">'Norms &amp; Assumptions'!B47</f>
        <v>0.2</v>
      </c>
      <c r="F193" s="63" t="n">
        <f aca="false">IF(B189="",2,IF(B189&gt;=DATE(2026,4,8),4,2))</f>
        <v>2</v>
      </c>
      <c r="G193" s="71" t="n">
        <f aca="false">E193*F193</f>
        <v>0.4</v>
      </c>
      <c r="H193" s="59"/>
      <c r="I193" s="72" t="str">
        <f aca="false">IF(H193="","",H193-G193)</f>
        <v/>
      </c>
      <c r="J193" s="33"/>
    </row>
    <row r="194" customFormat="false" ht="18" hidden="false" customHeight="true" outlineLevel="0" collapsed="false">
      <c r="A194" s="57" t="n">
        <v>190</v>
      </c>
      <c r="B194" s="73" t="n">
        <f aca="false">B189</f>
        <v>0</v>
      </c>
      <c r="C194" s="6" t="s">
        <v>340</v>
      </c>
      <c r="D194" s="8" t="s">
        <v>341</v>
      </c>
      <c r="E194" s="71" t="n">
        <f aca="false">'Norms &amp; Assumptions'!B48</f>
        <v>0.2</v>
      </c>
      <c r="F194" s="63" t="n">
        <f aca="false">IF(B189="",2,IF(B189&gt;=DATE(2026,4,8),4,2))</f>
        <v>2</v>
      </c>
      <c r="G194" s="71" t="n">
        <f aca="false">E194*F194</f>
        <v>0.4</v>
      </c>
      <c r="H194" s="59"/>
      <c r="I194" s="72" t="str">
        <f aca="false">IF(H194="","",H194-G194)</f>
        <v/>
      </c>
      <c r="J194" s="33"/>
    </row>
    <row r="195" customFormat="false" ht="18" hidden="false" customHeight="true" outlineLevel="0" collapsed="false">
      <c r="A195" s="57" t="n">
        <v>191</v>
      </c>
      <c r="B195" s="73" t="n">
        <f aca="false">B189</f>
        <v>0</v>
      </c>
      <c r="C195" s="6" t="s">
        <v>342</v>
      </c>
      <c r="D195" s="8" t="s">
        <v>343</v>
      </c>
      <c r="E195" s="71" t="n">
        <f aca="false">'Norms &amp; Assumptions'!B49</f>
        <v>0.05</v>
      </c>
      <c r="F195" s="63" t="n">
        <f aca="false">IF(B189="",2,IF(B189&gt;=DATE(2026,4,8),4,2))</f>
        <v>2</v>
      </c>
      <c r="G195" s="71" t="n">
        <f aca="false">E195*F195</f>
        <v>0.1</v>
      </c>
      <c r="H195" s="59"/>
      <c r="I195" s="72" t="str">
        <f aca="false">IF(H195="","",H195-G195)</f>
        <v/>
      </c>
      <c r="J195" s="33"/>
    </row>
    <row r="196" customFormat="false" ht="18" hidden="false" customHeight="true" outlineLevel="0" collapsed="false">
      <c r="A196" s="57" t="n">
        <v>192</v>
      </c>
      <c r="B196" s="73" t="n">
        <f aca="false">B189</f>
        <v>0</v>
      </c>
      <c r="C196" s="6" t="s">
        <v>98</v>
      </c>
      <c r="D196" s="8" t="s">
        <v>344</v>
      </c>
      <c r="E196" s="71" t="n">
        <f aca="false">'Norms &amp; Assumptions'!B50</f>
        <v>0.033</v>
      </c>
      <c r="F196" s="63" t="n">
        <f aca="false">IF(B189="",2,IF(B189&gt;=DATE(2026,4,8),4,2))</f>
        <v>2</v>
      </c>
      <c r="G196" s="71" t="n">
        <f aca="false">E196*F196</f>
        <v>0.066</v>
      </c>
      <c r="H196" s="59"/>
      <c r="I196" s="72" t="str">
        <f aca="false">IF(H196="","",H196-G196)</f>
        <v/>
      </c>
      <c r="J196" s="33"/>
    </row>
    <row r="197" customFormat="false" ht="18" hidden="false" customHeight="true" outlineLevel="0" collapsed="false">
      <c r="A197" s="57" t="n">
        <v>193</v>
      </c>
      <c r="B197" s="64"/>
      <c r="C197" s="6" t="s">
        <v>332</v>
      </c>
      <c r="D197" s="8" t="s">
        <v>333</v>
      </c>
      <c r="E197" s="71" t="n">
        <f aca="false">'Norms &amp; Assumptions'!B43</f>
        <v>2.5</v>
      </c>
      <c r="F197" s="63" t="n">
        <f aca="false">IF(B197="",2,IF(B197&gt;=DATE(2026,4,8),4,2))</f>
        <v>2</v>
      </c>
      <c r="G197" s="71" t="n">
        <f aca="false">E197*F197</f>
        <v>5</v>
      </c>
      <c r="H197" s="59"/>
      <c r="I197" s="72" t="str">
        <f aca="false">IF(H197="","",H197-G197)</f>
        <v/>
      </c>
      <c r="J197" s="33"/>
    </row>
    <row r="198" customFormat="false" ht="18" hidden="false" customHeight="true" outlineLevel="0" collapsed="false">
      <c r="A198" s="57" t="n">
        <v>194</v>
      </c>
      <c r="B198" s="73" t="n">
        <f aca="false">B197</f>
        <v>0</v>
      </c>
      <c r="C198" s="6" t="s">
        <v>81</v>
      </c>
      <c r="D198" s="8" t="s">
        <v>333</v>
      </c>
      <c r="E198" s="71" t="n">
        <f aca="false">'Norms &amp; Assumptions'!B44</f>
        <v>1.2</v>
      </c>
      <c r="F198" s="63" t="n">
        <f aca="false">IF(B197="",2,IF(B197&gt;=DATE(2026,4,8),4,2))</f>
        <v>2</v>
      </c>
      <c r="G198" s="71" t="n">
        <f aca="false">E198*F198</f>
        <v>2.4</v>
      </c>
      <c r="H198" s="59"/>
      <c r="I198" s="72" t="str">
        <f aca="false">IF(H198="","",H198-G198)</f>
        <v/>
      </c>
      <c r="J198" s="33"/>
    </row>
    <row r="199" customFormat="false" ht="18" hidden="false" customHeight="true" outlineLevel="0" collapsed="false">
      <c r="A199" s="57" t="n">
        <v>195</v>
      </c>
      <c r="B199" s="73" t="n">
        <f aca="false">B197</f>
        <v>0</v>
      </c>
      <c r="C199" s="6" t="s">
        <v>334</v>
      </c>
      <c r="D199" s="8" t="s">
        <v>335</v>
      </c>
      <c r="E199" s="71" t="n">
        <f aca="false">'Norms &amp; Assumptions'!B45</f>
        <v>0.5</v>
      </c>
      <c r="F199" s="63" t="n">
        <f aca="false">IF(B197="",2,IF(B197&gt;=DATE(2026,4,8),4,2))</f>
        <v>2</v>
      </c>
      <c r="G199" s="71" t="n">
        <f aca="false">E199*F199</f>
        <v>1</v>
      </c>
      <c r="H199" s="59"/>
      <c r="I199" s="72" t="str">
        <f aca="false">IF(H199="","",H199-G199)</f>
        <v/>
      </c>
      <c r="J199" s="33"/>
    </row>
    <row r="200" customFormat="false" ht="18" hidden="false" customHeight="true" outlineLevel="0" collapsed="false">
      <c r="A200" s="57" t="n">
        <v>196</v>
      </c>
      <c r="B200" s="73" t="n">
        <f aca="false">B197</f>
        <v>0</v>
      </c>
      <c r="C200" s="6" t="s">
        <v>336</v>
      </c>
      <c r="D200" s="8" t="s">
        <v>337</v>
      </c>
      <c r="E200" s="71" t="n">
        <f aca="false">'Norms &amp; Assumptions'!B46</f>
        <v>0.05</v>
      </c>
      <c r="F200" s="63" t="n">
        <f aca="false">IF(B197="",2,IF(B197&gt;=DATE(2026,4,8),4,2))</f>
        <v>2</v>
      </c>
      <c r="G200" s="71" t="n">
        <f aca="false">E200*F200</f>
        <v>0.1</v>
      </c>
      <c r="H200" s="59"/>
      <c r="I200" s="72" t="str">
        <f aca="false">IF(H200="","",H200-G200)</f>
        <v/>
      </c>
      <c r="J200" s="33"/>
    </row>
    <row r="201" customFormat="false" ht="18" hidden="false" customHeight="true" outlineLevel="0" collapsed="false">
      <c r="A201" s="57" t="n">
        <v>197</v>
      </c>
      <c r="B201" s="73" t="n">
        <f aca="false">B197</f>
        <v>0</v>
      </c>
      <c r="C201" s="6" t="s">
        <v>338</v>
      </c>
      <c r="D201" s="8" t="s">
        <v>339</v>
      </c>
      <c r="E201" s="71" t="n">
        <f aca="false">'Norms &amp; Assumptions'!B47</f>
        <v>0.2</v>
      </c>
      <c r="F201" s="63" t="n">
        <f aca="false">IF(B197="",2,IF(B197&gt;=DATE(2026,4,8),4,2))</f>
        <v>2</v>
      </c>
      <c r="G201" s="71" t="n">
        <f aca="false">E201*F201</f>
        <v>0.4</v>
      </c>
      <c r="H201" s="59"/>
      <c r="I201" s="72" t="str">
        <f aca="false">IF(H201="","",H201-G201)</f>
        <v/>
      </c>
      <c r="J201" s="33"/>
    </row>
    <row r="202" customFormat="false" ht="18" hidden="false" customHeight="true" outlineLevel="0" collapsed="false">
      <c r="A202" s="57" t="n">
        <v>198</v>
      </c>
      <c r="B202" s="73" t="n">
        <f aca="false">B197</f>
        <v>0</v>
      </c>
      <c r="C202" s="6" t="s">
        <v>340</v>
      </c>
      <c r="D202" s="8" t="s">
        <v>341</v>
      </c>
      <c r="E202" s="71" t="n">
        <f aca="false">'Norms &amp; Assumptions'!B48</f>
        <v>0.2</v>
      </c>
      <c r="F202" s="63" t="n">
        <f aca="false">IF(B197="",2,IF(B197&gt;=DATE(2026,4,8),4,2))</f>
        <v>2</v>
      </c>
      <c r="G202" s="71" t="n">
        <f aca="false">E202*F202</f>
        <v>0.4</v>
      </c>
      <c r="H202" s="59"/>
      <c r="I202" s="72" t="str">
        <f aca="false">IF(H202="","",H202-G202)</f>
        <v/>
      </c>
      <c r="J202" s="33"/>
    </row>
    <row r="203" customFormat="false" ht="18" hidden="false" customHeight="true" outlineLevel="0" collapsed="false">
      <c r="A203" s="57" t="n">
        <v>199</v>
      </c>
      <c r="B203" s="73" t="n">
        <f aca="false">B197</f>
        <v>0</v>
      </c>
      <c r="C203" s="6" t="s">
        <v>342</v>
      </c>
      <c r="D203" s="8" t="s">
        <v>343</v>
      </c>
      <c r="E203" s="71" t="n">
        <f aca="false">'Norms &amp; Assumptions'!B49</f>
        <v>0.05</v>
      </c>
      <c r="F203" s="63" t="n">
        <f aca="false">IF(B197="",2,IF(B197&gt;=DATE(2026,4,8),4,2))</f>
        <v>2</v>
      </c>
      <c r="G203" s="71" t="n">
        <f aca="false">E203*F203</f>
        <v>0.1</v>
      </c>
      <c r="H203" s="59"/>
      <c r="I203" s="72" t="str">
        <f aca="false">IF(H203="","",H203-G203)</f>
        <v/>
      </c>
      <c r="J203" s="33"/>
    </row>
    <row r="204" customFormat="false" ht="18" hidden="false" customHeight="true" outlineLevel="0" collapsed="false">
      <c r="A204" s="57" t="n">
        <v>200</v>
      </c>
      <c r="B204" s="73" t="n">
        <f aca="false">B197</f>
        <v>0</v>
      </c>
      <c r="C204" s="6" t="s">
        <v>98</v>
      </c>
      <c r="D204" s="8" t="s">
        <v>344</v>
      </c>
      <c r="E204" s="71" t="n">
        <f aca="false">'Norms &amp; Assumptions'!B50</f>
        <v>0.033</v>
      </c>
      <c r="F204" s="63" t="n">
        <f aca="false">IF(B197="",2,IF(B197&gt;=DATE(2026,4,8),4,2))</f>
        <v>2</v>
      </c>
      <c r="G204" s="71" t="n">
        <f aca="false">E204*F204</f>
        <v>0.066</v>
      </c>
      <c r="H204" s="59"/>
      <c r="I204" s="72" t="str">
        <f aca="false">IF(H204="","",H204-G204)</f>
        <v/>
      </c>
      <c r="J204" s="33"/>
    </row>
    <row r="205" customFormat="false" ht="18" hidden="false" customHeight="true" outlineLevel="0" collapsed="false">
      <c r="A205" s="57" t="n">
        <v>201</v>
      </c>
      <c r="B205" s="64"/>
      <c r="C205" s="6" t="s">
        <v>332</v>
      </c>
      <c r="D205" s="8" t="s">
        <v>333</v>
      </c>
      <c r="E205" s="71" t="n">
        <f aca="false">'Norms &amp; Assumptions'!B43</f>
        <v>2.5</v>
      </c>
      <c r="F205" s="63" t="n">
        <f aca="false">IF(B205="",2,IF(B205&gt;=DATE(2026,4,8),4,2))</f>
        <v>2</v>
      </c>
      <c r="G205" s="71" t="n">
        <f aca="false">E205*F205</f>
        <v>5</v>
      </c>
      <c r="H205" s="59"/>
      <c r="I205" s="72" t="str">
        <f aca="false">IF(H205="","",H205-G205)</f>
        <v/>
      </c>
      <c r="J205" s="33"/>
    </row>
    <row r="206" customFormat="false" ht="18" hidden="false" customHeight="true" outlineLevel="0" collapsed="false">
      <c r="A206" s="57" t="n">
        <v>202</v>
      </c>
      <c r="B206" s="73" t="n">
        <f aca="false">B205</f>
        <v>0</v>
      </c>
      <c r="C206" s="6" t="s">
        <v>81</v>
      </c>
      <c r="D206" s="8" t="s">
        <v>333</v>
      </c>
      <c r="E206" s="71" t="n">
        <f aca="false">'Norms &amp; Assumptions'!B44</f>
        <v>1.2</v>
      </c>
      <c r="F206" s="63" t="n">
        <f aca="false">IF(B205="",2,IF(B205&gt;=DATE(2026,4,8),4,2))</f>
        <v>2</v>
      </c>
      <c r="G206" s="71" t="n">
        <f aca="false">E206*F206</f>
        <v>2.4</v>
      </c>
      <c r="H206" s="59"/>
      <c r="I206" s="72" t="str">
        <f aca="false">IF(H206="","",H206-G206)</f>
        <v/>
      </c>
      <c r="J206" s="33"/>
    </row>
    <row r="207" customFormat="false" ht="18" hidden="false" customHeight="true" outlineLevel="0" collapsed="false">
      <c r="A207" s="57" t="n">
        <v>203</v>
      </c>
      <c r="B207" s="73" t="n">
        <f aca="false">B205</f>
        <v>0</v>
      </c>
      <c r="C207" s="6" t="s">
        <v>334</v>
      </c>
      <c r="D207" s="8" t="s">
        <v>335</v>
      </c>
      <c r="E207" s="71" t="n">
        <f aca="false">'Norms &amp; Assumptions'!B45</f>
        <v>0.5</v>
      </c>
      <c r="F207" s="63" t="n">
        <f aca="false">IF(B205="",2,IF(B205&gt;=DATE(2026,4,8),4,2))</f>
        <v>2</v>
      </c>
      <c r="G207" s="71" t="n">
        <f aca="false">E207*F207</f>
        <v>1</v>
      </c>
      <c r="H207" s="59"/>
      <c r="I207" s="72" t="str">
        <f aca="false">IF(H207="","",H207-G207)</f>
        <v/>
      </c>
      <c r="J207" s="33"/>
    </row>
    <row r="208" customFormat="false" ht="18" hidden="false" customHeight="true" outlineLevel="0" collapsed="false">
      <c r="A208" s="57" t="n">
        <v>204</v>
      </c>
      <c r="B208" s="73" t="n">
        <f aca="false">B205</f>
        <v>0</v>
      </c>
      <c r="C208" s="6" t="s">
        <v>336</v>
      </c>
      <c r="D208" s="8" t="s">
        <v>337</v>
      </c>
      <c r="E208" s="71" t="n">
        <f aca="false">'Norms &amp; Assumptions'!B46</f>
        <v>0.05</v>
      </c>
      <c r="F208" s="63" t="n">
        <f aca="false">IF(B205="",2,IF(B205&gt;=DATE(2026,4,8),4,2))</f>
        <v>2</v>
      </c>
      <c r="G208" s="71" t="n">
        <f aca="false">E208*F208</f>
        <v>0.1</v>
      </c>
      <c r="H208" s="59"/>
      <c r="I208" s="72" t="str">
        <f aca="false">IF(H208="","",H208-G208)</f>
        <v/>
      </c>
      <c r="J208" s="33"/>
    </row>
    <row r="209" customFormat="false" ht="18" hidden="false" customHeight="true" outlineLevel="0" collapsed="false">
      <c r="A209" s="57" t="n">
        <v>205</v>
      </c>
      <c r="B209" s="73" t="n">
        <f aca="false">B205</f>
        <v>0</v>
      </c>
      <c r="C209" s="6" t="s">
        <v>338</v>
      </c>
      <c r="D209" s="8" t="s">
        <v>339</v>
      </c>
      <c r="E209" s="71" t="n">
        <f aca="false">'Norms &amp; Assumptions'!B47</f>
        <v>0.2</v>
      </c>
      <c r="F209" s="63" t="n">
        <f aca="false">IF(B205="",2,IF(B205&gt;=DATE(2026,4,8),4,2))</f>
        <v>2</v>
      </c>
      <c r="G209" s="71" t="n">
        <f aca="false">E209*F209</f>
        <v>0.4</v>
      </c>
      <c r="H209" s="59"/>
      <c r="I209" s="72" t="str">
        <f aca="false">IF(H209="","",H209-G209)</f>
        <v/>
      </c>
      <c r="J209" s="33"/>
    </row>
    <row r="210" customFormat="false" ht="18" hidden="false" customHeight="true" outlineLevel="0" collapsed="false">
      <c r="A210" s="57" t="n">
        <v>206</v>
      </c>
      <c r="B210" s="73" t="n">
        <f aca="false">B205</f>
        <v>0</v>
      </c>
      <c r="C210" s="6" t="s">
        <v>340</v>
      </c>
      <c r="D210" s="8" t="s">
        <v>341</v>
      </c>
      <c r="E210" s="71" t="n">
        <f aca="false">'Norms &amp; Assumptions'!B48</f>
        <v>0.2</v>
      </c>
      <c r="F210" s="63" t="n">
        <f aca="false">IF(B205="",2,IF(B205&gt;=DATE(2026,4,8),4,2))</f>
        <v>2</v>
      </c>
      <c r="G210" s="71" t="n">
        <f aca="false">E210*F210</f>
        <v>0.4</v>
      </c>
      <c r="H210" s="59"/>
      <c r="I210" s="72" t="str">
        <f aca="false">IF(H210="","",H210-G210)</f>
        <v/>
      </c>
      <c r="J210" s="33"/>
    </row>
    <row r="211" customFormat="false" ht="18" hidden="false" customHeight="true" outlineLevel="0" collapsed="false">
      <c r="A211" s="57" t="n">
        <v>207</v>
      </c>
      <c r="B211" s="73" t="n">
        <f aca="false">B205</f>
        <v>0</v>
      </c>
      <c r="C211" s="6" t="s">
        <v>342</v>
      </c>
      <c r="D211" s="8" t="s">
        <v>343</v>
      </c>
      <c r="E211" s="71" t="n">
        <f aca="false">'Norms &amp; Assumptions'!B49</f>
        <v>0.05</v>
      </c>
      <c r="F211" s="63" t="n">
        <f aca="false">IF(B205="",2,IF(B205&gt;=DATE(2026,4,8),4,2))</f>
        <v>2</v>
      </c>
      <c r="G211" s="71" t="n">
        <f aca="false">E211*F211</f>
        <v>0.1</v>
      </c>
      <c r="H211" s="59"/>
      <c r="I211" s="72" t="str">
        <f aca="false">IF(H211="","",H211-G211)</f>
        <v/>
      </c>
      <c r="J211" s="33"/>
    </row>
    <row r="212" customFormat="false" ht="18" hidden="false" customHeight="true" outlineLevel="0" collapsed="false">
      <c r="A212" s="57" t="n">
        <v>208</v>
      </c>
      <c r="B212" s="73" t="n">
        <f aca="false">B205</f>
        <v>0</v>
      </c>
      <c r="C212" s="6" t="s">
        <v>98</v>
      </c>
      <c r="D212" s="8" t="s">
        <v>344</v>
      </c>
      <c r="E212" s="71" t="n">
        <f aca="false">'Norms &amp; Assumptions'!B50</f>
        <v>0.033</v>
      </c>
      <c r="F212" s="63" t="n">
        <f aca="false">IF(B205="",2,IF(B205&gt;=DATE(2026,4,8),4,2))</f>
        <v>2</v>
      </c>
      <c r="G212" s="71" t="n">
        <f aca="false">E212*F212</f>
        <v>0.066</v>
      </c>
      <c r="H212" s="59"/>
      <c r="I212" s="72" t="str">
        <f aca="false">IF(H212="","",H212-G212)</f>
        <v/>
      </c>
      <c r="J212" s="33"/>
    </row>
    <row r="213" customFormat="false" ht="18" hidden="false" customHeight="true" outlineLevel="0" collapsed="false">
      <c r="A213" s="57" t="n">
        <v>209</v>
      </c>
      <c r="B213" s="64"/>
      <c r="C213" s="6" t="s">
        <v>332</v>
      </c>
      <c r="D213" s="8" t="s">
        <v>333</v>
      </c>
      <c r="E213" s="71" t="n">
        <f aca="false">'Norms &amp; Assumptions'!B43</f>
        <v>2.5</v>
      </c>
      <c r="F213" s="63" t="n">
        <f aca="false">IF(B213="",2,IF(B213&gt;=DATE(2026,4,8),4,2))</f>
        <v>2</v>
      </c>
      <c r="G213" s="71" t="n">
        <f aca="false">E213*F213</f>
        <v>5</v>
      </c>
      <c r="H213" s="59"/>
      <c r="I213" s="72" t="str">
        <f aca="false">IF(H213="","",H213-G213)</f>
        <v/>
      </c>
      <c r="J213" s="33"/>
    </row>
    <row r="214" customFormat="false" ht="18" hidden="false" customHeight="true" outlineLevel="0" collapsed="false">
      <c r="A214" s="57" t="n">
        <v>210</v>
      </c>
      <c r="B214" s="73" t="n">
        <f aca="false">B213</f>
        <v>0</v>
      </c>
      <c r="C214" s="6" t="s">
        <v>81</v>
      </c>
      <c r="D214" s="8" t="s">
        <v>333</v>
      </c>
      <c r="E214" s="71" t="n">
        <f aca="false">'Norms &amp; Assumptions'!B44</f>
        <v>1.2</v>
      </c>
      <c r="F214" s="63" t="n">
        <f aca="false">IF(B213="",2,IF(B213&gt;=DATE(2026,4,8),4,2))</f>
        <v>2</v>
      </c>
      <c r="G214" s="71" t="n">
        <f aca="false">E214*F214</f>
        <v>2.4</v>
      </c>
      <c r="H214" s="59"/>
      <c r="I214" s="72" t="str">
        <f aca="false">IF(H214="","",H214-G214)</f>
        <v/>
      </c>
      <c r="J214" s="33"/>
    </row>
    <row r="215" customFormat="false" ht="18" hidden="false" customHeight="true" outlineLevel="0" collapsed="false">
      <c r="A215" s="57" t="n">
        <v>211</v>
      </c>
      <c r="B215" s="73" t="n">
        <f aca="false">B213</f>
        <v>0</v>
      </c>
      <c r="C215" s="6" t="s">
        <v>334</v>
      </c>
      <c r="D215" s="8" t="s">
        <v>335</v>
      </c>
      <c r="E215" s="71" t="n">
        <f aca="false">'Norms &amp; Assumptions'!B45</f>
        <v>0.5</v>
      </c>
      <c r="F215" s="63" t="n">
        <f aca="false">IF(B213="",2,IF(B213&gt;=DATE(2026,4,8),4,2))</f>
        <v>2</v>
      </c>
      <c r="G215" s="71" t="n">
        <f aca="false">E215*F215</f>
        <v>1</v>
      </c>
      <c r="H215" s="59"/>
      <c r="I215" s="72" t="str">
        <f aca="false">IF(H215="","",H215-G215)</f>
        <v/>
      </c>
      <c r="J215" s="33"/>
    </row>
    <row r="216" customFormat="false" ht="18" hidden="false" customHeight="true" outlineLevel="0" collapsed="false">
      <c r="A216" s="57" t="n">
        <v>212</v>
      </c>
      <c r="B216" s="73" t="n">
        <f aca="false">B213</f>
        <v>0</v>
      </c>
      <c r="C216" s="6" t="s">
        <v>336</v>
      </c>
      <c r="D216" s="8" t="s">
        <v>337</v>
      </c>
      <c r="E216" s="71" t="n">
        <f aca="false">'Norms &amp; Assumptions'!B46</f>
        <v>0.05</v>
      </c>
      <c r="F216" s="63" t="n">
        <f aca="false">IF(B213="",2,IF(B213&gt;=DATE(2026,4,8),4,2))</f>
        <v>2</v>
      </c>
      <c r="G216" s="71" t="n">
        <f aca="false">E216*F216</f>
        <v>0.1</v>
      </c>
      <c r="H216" s="59"/>
      <c r="I216" s="72" t="str">
        <f aca="false">IF(H216="","",H216-G216)</f>
        <v/>
      </c>
      <c r="J216" s="33"/>
    </row>
    <row r="217" customFormat="false" ht="18" hidden="false" customHeight="true" outlineLevel="0" collapsed="false">
      <c r="A217" s="57" t="n">
        <v>213</v>
      </c>
      <c r="B217" s="73" t="n">
        <f aca="false">B213</f>
        <v>0</v>
      </c>
      <c r="C217" s="6" t="s">
        <v>338</v>
      </c>
      <c r="D217" s="8" t="s">
        <v>339</v>
      </c>
      <c r="E217" s="71" t="n">
        <f aca="false">'Norms &amp; Assumptions'!B47</f>
        <v>0.2</v>
      </c>
      <c r="F217" s="63" t="n">
        <f aca="false">IF(B213="",2,IF(B213&gt;=DATE(2026,4,8),4,2))</f>
        <v>2</v>
      </c>
      <c r="G217" s="71" t="n">
        <f aca="false">E217*F217</f>
        <v>0.4</v>
      </c>
      <c r="H217" s="59"/>
      <c r="I217" s="72" t="str">
        <f aca="false">IF(H217="","",H217-G217)</f>
        <v/>
      </c>
      <c r="J217" s="33"/>
    </row>
    <row r="218" customFormat="false" ht="18" hidden="false" customHeight="true" outlineLevel="0" collapsed="false">
      <c r="A218" s="57" t="n">
        <v>214</v>
      </c>
      <c r="B218" s="73" t="n">
        <f aca="false">B213</f>
        <v>0</v>
      </c>
      <c r="C218" s="6" t="s">
        <v>340</v>
      </c>
      <c r="D218" s="8" t="s">
        <v>341</v>
      </c>
      <c r="E218" s="71" t="n">
        <f aca="false">'Norms &amp; Assumptions'!B48</f>
        <v>0.2</v>
      </c>
      <c r="F218" s="63" t="n">
        <f aca="false">IF(B213="",2,IF(B213&gt;=DATE(2026,4,8),4,2))</f>
        <v>2</v>
      </c>
      <c r="G218" s="71" t="n">
        <f aca="false">E218*F218</f>
        <v>0.4</v>
      </c>
      <c r="H218" s="59"/>
      <c r="I218" s="72" t="str">
        <f aca="false">IF(H218="","",H218-G218)</f>
        <v/>
      </c>
      <c r="J218" s="33"/>
    </row>
    <row r="219" customFormat="false" ht="18" hidden="false" customHeight="true" outlineLevel="0" collapsed="false">
      <c r="A219" s="57" t="n">
        <v>215</v>
      </c>
      <c r="B219" s="73" t="n">
        <f aca="false">B213</f>
        <v>0</v>
      </c>
      <c r="C219" s="6" t="s">
        <v>342</v>
      </c>
      <c r="D219" s="8" t="s">
        <v>343</v>
      </c>
      <c r="E219" s="71" t="n">
        <f aca="false">'Norms &amp; Assumptions'!B49</f>
        <v>0.05</v>
      </c>
      <c r="F219" s="63" t="n">
        <f aca="false">IF(B213="",2,IF(B213&gt;=DATE(2026,4,8),4,2))</f>
        <v>2</v>
      </c>
      <c r="G219" s="71" t="n">
        <f aca="false">E219*F219</f>
        <v>0.1</v>
      </c>
      <c r="H219" s="59"/>
      <c r="I219" s="72" t="str">
        <f aca="false">IF(H219="","",H219-G219)</f>
        <v/>
      </c>
      <c r="J219" s="33"/>
    </row>
    <row r="220" customFormat="false" ht="18" hidden="false" customHeight="true" outlineLevel="0" collapsed="false">
      <c r="A220" s="57" t="n">
        <v>216</v>
      </c>
      <c r="B220" s="73" t="n">
        <f aca="false">B213</f>
        <v>0</v>
      </c>
      <c r="C220" s="6" t="s">
        <v>98</v>
      </c>
      <c r="D220" s="8" t="s">
        <v>344</v>
      </c>
      <c r="E220" s="71" t="n">
        <f aca="false">'Norms &amp; Assumptions'!B50</f>
        <v>0.033</v>
      </c>
      <c r="F220" s="63" t="n">
        <f aca="false">IF(B213="",2,IF(B213&gt;=DATE(2026,4,8),4,2))</f>
        <v>2</v>
      </c>
      <c r="G220" s="71" t="n">
        <f aca="false">E220*F220</f>
        <v>0.066</v>
      </c>
      <c r="H220" s="59"/>
      <c r="I220" s="72" t="str">
        <f aca="false">IF(H220="","",H220-G220)</f>
        <v/>
      </c>
      <c r="J220" s="33"/>
    </row>
    <row r="221" customFormat="false" ht="18" hidden="false" customHeight="true" outlineLevel="0" collapsed="false">
      <c r="A221" s="57" t="n">
        <v>217</v>
      </c>
      <c r="B221" s="64"/>
      <c r="C221" s="6" t="s">
        <v>332</v>
      </c>
      <c r="D221" s="8" t="s">
        <v>333</v>
      </c>
      <c r="E221" s="71" t="n">
        <f aca="false">'Norms &amp; Assumptions'!B43</f>
        <v>2.5</v>
      </c>
      <c r="F221" s="63" t="n">
        <f aca="false">IF(B221="",2,IF(B221&gt;=DATE(2026,4,8),4,2))</f>
        <v>2</v>
      </c>
      <c r="G221" s="71" t="n">
        <f aca="false">E221*F221</f>
        <v>5</v>
      </c>
      <c r="H221" s="59"/>
      <c r="I221" s="72" t="str">
        <f aca="false">IF(H221="","",H221-G221)</f>
        <v/>
      </c>
      <c r="J221" s="33"/>
    </row>
    <row r="222" customFormat="false" ht="18" hidden="false" customHeight="true" outlineLevel="0" collapsed="false">
      <c r="A222" s="57" t="n">
        <v>218</v>
      </c>
      <c r="B222" s="73" t="n">
        <f aca="false">B221</f>
        <v>0</v>
      </c>
      <c r="C222" s="6" t="s">
        <v>81</v>
      </c>
      <c r="D222" s="8" t="s">
        <v>333</v>
      </c>
      <c r="E222" s="71" t="n">
        <f aca="false">'Norms &amp; Assumptions'!B44</f>
        <v>1.2</v>
      </c>
      <c r="F222" s="63" t="n">
        <f aca="false">IF(B221="",2,IF(B221&gt;=DATE(2026,4,8),4,2))</f>
        <v>2</v>
      </c>
      <c r="G222" s="71" t="n">
        <f aca="false">E222*F222</f>
        <v>2.4</v>
      </c>
      <c r="H222" s="59"/>
      <c r="I222" s="72" t="str">
        <f aca="false">IF(H222="","",H222-G222)</f>
        <v/>
      </c>
      <c r="J222" s="33"/>
    </row>
    <row r="223" customFormat="false" ht="18" hidden="false" customHeight="true" outlineLevel="0" collapsed="false">
      <c r="A223" s="57" t="n">
        <v>219</v>
      </c>
      <c r="B223" s="73" t="n">
        <f aca="false">B221</f>
        <v>0</v>
      </c>
      <c r="C223" s="6" t="s">
        <v>334</v>
      </c>
      <c r="D223" s="8" t="s">
        <v>335</v>
      </c>
      <c r="E223" s="71" t="n">
        <f aca="false">'Norms &amp; Assumptions'!B45</f>
        <v>0.5</v>
      </c>
      <c r="F223" s="63" t="n">
        <f aca="false">IF(B221="",2,IF(B221&gt;=DATE(2026,4,8),4,2))</f>
        <v>2</v>
      </c>
      <c r="G223" s="71" t="n">
        <f aca="false">E223*F223</f>
        <v>1</v>
      </c>
      <c r="H223" s="59"/>
      <c r="I223" s="72" t="str">
        <f aca="false">IF(H223="","",H223-G223)</f>
        <v/>
      </c>
      <c r="J223" s="33"/>
    </row>
    <row r="224" customFormat="false" ht="18" hidden="false" customHeight="true" outlineLevel="0" collapsed="false">
      <c r="A224" s="57" t="n">
        <v>220</v>
      </c>
      <c r="B224" s="73" t="n">
        <f aca="false">B221</f>
        <v>0</v>
      </c>
      <c r="C224" s="6" t="s">
        <v>336</v>
      </c>
      <c r="D224" s="8" t="s">
        <v>337</v>
      </c>
      <c r="E224" s="71" t="n">
        <f aca="false">'Norms &amp; Assumptions'!B46</f>
        <v>0.05</v>
      </c>
      <c r="F224" s="63" t="n">
        <f aca="false">IF(B221="",2,IF(B221&gt;=DATE(2026,4,8),4,2))</f>
        <v>2</v>
      </c>
      <c r="G224" s="71" t="n">
        <f aca="false">E224*F224</f>
        <v>0.1</v>
      </c>
      <c r="H224" s="59"/>
      <c r="I224" s="72" t="str">
        <f aca="false">IF(H224="","",H224-G224)</f>
        <v/>
      </c>
      <c r="J224" s="33"/>
    </row>
    <row r="225" customFormat="false" ht="18" hidden="false" customHeight="true" outlineLevel="0" collapsed="false">
      <c r="A225" s="57" t="n">
        <v>221</v>
      </c>
      <c r="B225" s="73" t="n">
        <f aca="false">B221</f>
        <v>0</v>
      </c>
      <c r="C225" s="6" t="s">
        <v>338</v>
      </c>
      <c r="D225" s="8" t="s">
        <v>339</v>
      </c>
      <c r="E225" s="71" t="n">
        <f aca="false">'Norms &amp; Assumptions'!B47</f>
        <v>0.2</v>
      </c>
      <c r="F225" s="63" t="n">
        <f aca="false">IF(B221="",2,IF(B221&gt;=DATE(2026,4,8),4,2))</f>
        <v>2</v>
      </c>
      <c r="G225" s="71" t="n">
        <f aca="false">E225*F225</f>
        <v>0.4</v>
      </c>
      <c r="H225" s="59"/>
      <c r="I225" s="72" t="str">
        <f aca="false">IF(H225="","",H225-G225)</f>
        <v/>
      </c>
      <c r="J225" s="33"/>
    </row>
    <row r="226" customFormat="false" ht="18" hidden="false" customHeight="true" outlineLevel="0" collapsed="false">
      <c r="A226" s="57" t="n">
        <v>222</v>
      </c>
      <c r="B226" s="73" t="n">
        <f aca="false">B221</f>
        <v>0</v>
      </c>
      <c r="C226" s="6" t="s">
        <v>340</v>
      </c>
      <c r="D226" s="8" t="s">
        <v>341</v>
      </c>
      <c r="E226" s="71" t="n">
        <f aca="false">'Norms &amp; Assumptions'!B48</f>
        <v>0.2</v>
      </c>
      <c r="F226" s="63" t="n">
        <f aca="false">IF(B221="",2,IF(B221&gt;=DATE(2026,4,8),4,2))</f>
        <v>2</v>
      </c>
      <c r="G226" s="71" t="n">
        <f aca="false">E226*F226</f>
        <v>0.4</v>
      </c>
      <c r="H226" s="59"/>
      <c r="I226" s="72" t="str">
        <f aca="false">IF(H226="","",H226-G226)</f>
        <v/>
      </c>
      <c r="J226" s="33"/>
    </row>
    <row r="227" customFormat="false" ht="18" hidden="false" customHeight="true" outlineLevel="0" collapsed="false">
      <c r="A227" s="57" t="n">
        <v>223</v>
      </c>
      <c r="B227" s="73" t="n">
        <f aca="false">B221</f>
        <v>0</v>
      </c>
      <c r="C227" s="6" t="s">
        <v>342</v>
      </c>
      <c r="D227" s="8" t="s">
        <v>343</v>
      </c>
      <c r="E227" s="71" t="n">
        <f aca="false">'Norms &amp; Assumptions'!B49</f>
        <v>0.05</v>
      </c>
      <c r="F227" s="63" t="n">
        <f aca="false">IF(B221="",2,IF(B221&gt;=DATE(2026,4,8),4,2))</f>
        <v>2</v>
      </c>
      <c r="G227" s="71" t="n">
        <f aca="false">E227*F227</f>
        <v>0.1</v>
      </c>
      <c r="H227" s="59"/>
      <c r="I227" s="72" t="str">
        <f aca="false">IF(H227="","",H227-G227)</f>
        <v/>
      </c>
      <c r="J227" s="33"/>
    </row>
    <row r="228" customFormat="false" ht="18" hidden="false" customHeight="true" outlineLevel="0" collapsed="false">
      <c r="A228" s="57" t="n">
        <v>224</v>
      </c>
      <c r="B228" s="73" t="n">
        <f aca="false">B221</f>
        <v>0</v>
      </c>
      <c r="C228" s="6" t="s">
        <v>98</v>
      </c>
      <c r="D228" s="8" t="s">
        <v>344</v>
      </c>
      <c r="E228" s="71" t="n">
        <f aca="false">'Norms &amp; Assumptions'!B50</f>
        <v>0.033</v>
      </c>
      <c r="F228" s="63" t="n">
        <f aca="false">IF(B221="",2,IF(B221&gt;=DATE(2026,4,8),4,2))</f>
        <v>2</v>
      </c>
      <c r="G228" s="71" t="n">
        <f aca="false">E228*F228</f>
        <v>0.066</v>
      </c>
      <c r="H228" s="59"/>
      <c r="I228" s="72" t="str">
        <f aca="false">IF(H228="","",H228-G228)</f>
        <v/>
      </c>
      <c r="J228" s="33"/>
    </row>
    <row r="229" customFormat="false" ht="18" hidden="false" customHeight="true" outlineLevel="0" collapsed="false">
      <c r="A229" s="57" t="n">
        <v>225</v>
      </c>
      <c r="B229" s="64"/>
      <c r="C229" s="6" t="s">
        <v>332</v>
      </c>
      <c r="D229" s="8" t="s">
        <v>333</v>
      </c>
      <c r="E229" s="71" t="n">
        <f aca="false">'Norms &amp; Assumptions'!B43</f>
        <v>2.5</v>
      </c>
      <c r="F229" s="63" t="n">
        <f aca="false">IF(B229="",2,IF(B229&gt;=DATE(2026,4,8),4,2))</f>
        <v>2</v>
      </c>
      <c r="G229" s="71" t="n">
        <f aca="false">E229*F229</f>
        <v>5</v>
      </c>
      <c r="H229" s="59"/>
      <c r="I229" s="72" t="str">
        <f aca="false">IF(H229="","",H229-G229)</f>
        <v/>
      </c>
      <c r="J229" s="33"/>
    </row>
    <row r="230" customFormat="false" ht="18" hidden="false" customHeight="true" outlineLevel="0" collapsed="false">
      <c r="A230" s="57" t="n">
        <v>226</v>
      </c>
      <c r="B230" s="73" t="n">
        <f aca="false">B229</f>
        <v>0</v>
      </c>
      <c r="C230" s="6" t="s">
        <v>81</v>
      </c>
      <c r="D230" s="8" t="s">
        <v>333</v>
      </c>
      <c r="E230" s="71" t="n">
        <f aca="false">'Norms &amp; Assumptions'!B44</f>
        <v>1.2</v>
      </c>
      <c r="F230" s="63" t="n">
        <f aca="false">IF(B229="",2,IF(B229&gt;=DATE(2026,4,8),4,2))</f>
        <v>2</v>
      </c>
      <c r="G230" s="71" t="n">
        <f aca="false">E230*F230</f>
        <v>2.4</v>
      </c>
      <c r="H230" s="59"/>
      <c r="I230" s="72" t="str">
        <f aca="false">IF(H230="","",H230-G230)</f>
        <v/>
      </c>
      <c r="J230" s="33"/>
    </row>
    <row r="231" customFormat="false" ht="18" hidden="false" customHeight="true" outlineLevel="0" collapsed="false">
      <c r="A231" s="57" t="n">
        <v>227</v>
      </c>
      <c r="B231" s="73" t="n">
        <f aca="false">B229</f>
        <v>0</v>
      </c>
      <c r="C231" s="6" t="s">
        <v>334</v>
      </c>
      <c r="D231" s="8" t="s">
        <v>335</v>
      </c>
      <c r="E231" s="71" t="n">
        <f aca="false">'Norms &amp; Assumptions'!B45</f>
        <v>0.5</v>
      </c>
      <c r="F231" s="63" t="n">
        <f aca="false">IF(B229="",2,IF(B229&gt;=DATE(2026,4,8),4,2))</f>
        <v>2</v>
      </c>
      <c r="G231" s="71" t="n">
        <f aca="false">E231*F231</f>
        <v>1</v>
      </c>
      <c r="H231" s="59"/>
      <c r="I231" s="72" t="str">
        <f aca="false">IF(H231="","",H231-G231)</f>
        <v/>
      </c>
      <c r="J231" s="33"/>
    </row>
    <row r="232" customFormat="false" ht="18" hidden="false" customHeight="true" outlineLevel="0" collapsed="false">
      <c r="A232" s="57" t="n">
        <v>228</v>
      </c>
      <c r="B232" s="73" t="n">
        <f aca="false">B229</f>
        <v>0</v>
      </c>
      <c r="C232" s="6" t="s">
        <v>336</v>
      </c>
      <c r="D232" s="8" t="s">
        <v>337</v>
      </c>
      <c r="E232" s="71" t="n">
        <f aca="false">'Norms &amp; Assumptions'!B46</f>
        <v>0.05</v>
      </c>
      <c r="F232" s="63" t="n">
        <f aca="false">IF(B229="",2,IF(B229&gt;=DATE(2026,4,8),4,2))</f>
        <v>2</v>
      </c>
      <c r="G232" s="71" t="n">
        <f aca="false">E232*F232</f>
        <v>0.1</v>
      </c>
      <c r="H232" s="59"/>
      <c r="I232" s="72" t="str">
        <f aca="false">IF(H232="","",H232-G232)</f>
        <v/>
      </c>
      <c r="J232" s="33"/>
    </row>
    <row r="233" customFormat="false" ht="18" hidden="false" customHeight="true" outlineLevel="0" collapsed="false">
      <c r="A233" s="57" t="n">
        <v>229</v>
      </c>
      <c r="B233" s="73" t="n">
        <f aca="false">B229</f>
        <v>0</v>
      </c>
      <c r="C233" s="6" t="s">
        <v>338</v>
      </c>
      <c r="D233" s="8" t="s">
        <v>339</v>
      </c>
      <c r="E233" s="71" t="n">
        <f aca="false">'Norms &amp; Assumptions'!B47</f>
        <v>0.2</v>
      </c>
      <c r="F233" s="63" t="n">
        <f aca="false">IF(B229="",2,IF(B229&gt;=DATE(2026,4,8),4,2))</f>
        <v>2</v>
      </c>
      <c r="G233" s="71" t="n">
        <f aca="false">E233*F233</f>
        <v>0.4</v>
      </c>
      <c r="H233" s="59"/>
      <c r="I233" s="72" t="str">
        <f aca="false">IF(H233="","",H233-G233)</f>
        <v/>
      </c>
      <c r="J233" s="33"/>
    </row>
    <row r="234" customFormat="false" ht="18" hidden="false" customHeight="true" outlineLevel="0" collapsed="false">
      <c r="A234" s="57" t="n">
        <v>230</v>
      </c>
      <c r="B234" s="73" t="n">
        <f aca="false">B229</f>
        <v>0</v>
      </c>
      <c r="C234" s="6" t="s">
        <v>340</v>
      </c>
      <c r="D234" s="8" t="s">
        <v>341</v>
      </c>
      <c r="E234" s="71" t="n">
        <f aca="false">'Norms &amp; Assumptions'!B48</f>
        <v>0.2</v>
      </c>
      <c r="F234" s="63" t="n">
        <f aca="false">IF(B229="",2,IF(B229&gt;=DATE(2026,4,8),4,2))</f>
        <v>2</v>
      </c>
      <c r="G234" s="71" t="n">
        <f aca="false">E234*F234</f>
        <v>0.4</v>
      </c>
      <c r="H234" s="59"/>
      <c r="I234" s="72" t="str">
        <f aca="false">IF(H234="","",H234-G234)</f>
        <v/>
      </c>
      <c r="J234" s="33"/>
    </row>
    <row r="235" customFormat="false" ht="18" hidden="false" customHeight="true" outlineLevel="0" collapsed="false">
      <c r="A235" s="57" t="n">
        <v>231</v>
      </c>
      <c r="B235" s="73" t="n">
        <f aca="false">B229</f>
        <v>0</v>
      </c>
      <c r="C235" s="6" t="s">
        <v>342</v>
      </c>
      <c r="D235" s="8" t="s">
        <v>343</v>
      </c>
      <c r="E235" s="71" t="n">
        <f aca="false">'Norms &amp; Assumptions'!B49</f>
        <v>0.05</v>
      </c>
      <c r="F235" s="63" t="n">
        <f aca="false">IF(B229="",2,IF(B229&gt;=DATE(2026,4,8),4,2))</f>
        <v>2</v>
      </c>
      <c r="G235" s="71" t="n">
        <f aca="false">E235*F235</f>
        <v>0.1</v>
      </c>
      <c r="H235" s="59"/>
      <c r="I235" s="72" t="str">
        <f aca="false">IF(H235="","",H235-G235)</f>
        <v/>
      </c>
      <c r="J235" s="33"/>
    </row>
    <row r="236" customFormat="false" ht="18" hidden="false" customHeight="true" outlineLevel="0" collapsed="false">
      <c r="A236" s="57" t="n">
        <v>232</v>
      </c>
      <c r="B236" s="73" t="n">
        <f aca="false">B229</f>
        <v>0</v>
      </c>
      <c r="C236" s="6" t="s">
        <v>98</v>
      </c>
      <c r="D236" s="8" t="s">
        <v>344</v>
      </c>
      <c r="E236" s="71" t="n">
        <f aca="false">'Norms &amp; Assumptions'!B50</f>
        <v>0.033</v>
      </c>
      <c r="F236" s="63" t="n">
        <f aca="false">IF(B229="",2,IF(B229&gt;=DATE(2026,4,8),4,2))</f>
        <v>2</v>
      </c>
      <c r="G236" s="71" t="n">
        <f aca="false">E236*F236</f>
        <v>0.066</v>
      </c>
      <c r="H236" s="59"/>
      <c r="I236" s="72" t="str">
        <f aca="false">IF(H236="","",H236-G236)</f>
        <v/>
      </c>
      <c r="J236" s="33"/>
    </row>
    <row r="237" customFormat="false" ht="18" hidden="false" customHeight="true" outlineLevel="0" collapsed="false">
      <c r="A237" s="57" t="n">
        <v>233</v>
      </c>
      <c r="B237" s="64"/>
      <c r="C237" s="6" t="s">
        <v>332</v>
      </c>
      <c r="D237" s="8" t="s">
        <v>333</v>
      </c>
      <c r="E237" s="71" t="n">
        <f aca="false">'Norms &amp; Assumptions'!B43</f>
        <v>2.5</v>
      </c>
      <c r="F237" s="63" t="n">
        <f aca="false">IF(B237="",2,IF(B237&gt;=DATE(2026,4,8),4,2))</f>
        <v>2</v>
      </c>
      <c r="G237" s="71" t="n">
        <f aca="false">E237*F237</f>
        <v>5</v>
      </c>
      <c r="H237" s="59"/>
      <c r="I237" s="72" t="str">
        <f aca="false">IF(H237="","",H237-G237)</f>
        <v/>
      </c>
      <c r="J237" s="33"/>
    </row>
    <row r="238" customFormat="false" ht="18" hidden="false" customHeight="true" outlineLevel="0" collapsed="false">
      <c r="A238" s="57" t="n">
        <v>234</v>
      </c>
      <c r="B238" s="73" t="n">
        <f aca="false">B237</f>
        <v>0</v>
      </c>
      <c r="C238" s="6" t="s">
        <v>81</v>
      </c>
      <c r="D238" s="8" t="s">
        <v>333</v>
      </c>
      <c r="E238" s="71" t="n">
        <f aca="false">'Norms &amp; Assumptions'!B44</f>
        <v>1.2</v>
      </c>
      <c r="F238" s="63" t="n">
        <f aca="false">IF(B237="",2,IF(B237&gt;=DATE(2026,4,8),4,2))</f>
        <v>2</v>
      </c>
      <c r="G238" s="71" t="n">
        <f aca="false">E238*F238</f>
        <v>2.4</v>
      </c>
      <c r="H238" s="59"/>
      <c r="I238" s="72" t="str">
        <f aca="false">IF(H238="","",H238-G238)</f>
        <v/>
      </c>
      <c r="J238" s="33"/>
    </row>
    <row r="239" customFormat="false" ht="18" hidden="false" customHeight="true" outlineLevel="0" collapsed="false">
      <c r="A239" s="57" t="n">
        <v>235</v>
      </c>
      <c r="B239" s="73" t="n">
        <f aca="false">B237</f>
        <v>0</v>
      </c>
      <c r="C239" s="6" t="s">
        <v>334</v>
      </c>
      <c r="D239" s="8" t="s">
        <v>335</v>
      </c>
      <c r="E239" s="71" t="n">
        <f aca="false">'Norms &amp; Assumptions'!B45</f>
        <v>0.5</v>
      </c>
      <c r="F239" s="63" t="n">
        <f aca="false">IF(B237="",2,IF(B237&gt;=DATE(2026,4,8),4,2))</f>
        <v>2</v>
      </c>
      <c r="G239" s="71" t="n">
        <f aca="false">E239*F239</f>
        <v>1</v>
      </c>
      <c r="H239" s="59"/>
      <c r="I239" s="72" t="str">
        <f aca="false">IF(H239="","",H239-G239)</f>
        <v/>
      </c>
      <c r="J239" s="33"/>
    </row>
    <row r="240" customFormat="false" ht="18" hidden="false" customHeight="true" outlineLevel="0" collapsed="false">
      <c r="A240" s="57" t="n">
        <v>236</v>
      </c>
      <c r="B240" s="73" t="n">
        <f aca="false">B237</f>
        <v>0</v>
      </c>
      <c r="C240" s="6" t="s">
        <v>336</v>
      </c>
      <c r="D240" s="8" t="s">
        <v>337</v>
      </c>
      <c r="E240" s="71" t="n">
        <f aca="false">'Norms &amp; Assumptions'!B46</f>
        <v>0.05</v>
      </c>
      <c r="F240" s="63" t="n">
        <f aca="false">IF(B237="",2,IF(B237&gt;=DATE(2026,4,8),4,2))</f>
        <v>2</v>
      </c>
      <c r="G240" s="71" t="n">
        <f aca="false">E240*F240</f>
        <v>0.1</v>
      </c>
      <c r="H240" s="59"/>
      <c r="I240" s="72" t="str">
        <f aca="false">IF(H240="","",H240-G240)</f>
        <v/>
      </c>
      <c r="J240" s="33"/>
    </row>
    <row r="241" customFormat="false" ht="18" hidden="false" customHeight="true" outlineLevel="0" collapsed="false">
      <c r="A241" s="57" t="n">
        <v>237</v>
      </c>
      <c r="B241" s="73" t="n">
        <f aca="false">B237</f>
        <v>0</v>
      </c>
      <c r="C241" s="6" t="s">
        <v>338</v>
      </c>
      <c r="D241" s="8" t="s">
        <v>339</v>
      </c>
      <c r="E241" s="71" t="n">
        <f aca="false">'Norms &amp; Assumptions'!B47</f>
        <v>0.2</v>
      </c>
      <c r="F241" s="63" t="n">
        <f aca="false">IF(B237="",2,IF(B237&gt;=DATE(2026,4,8),4,2))</f>
        <v>2</v>
      </c>
      <c r="G241" s="71" t="n">
        <f aca="false">E241*F241</f>
        <v>0.4</v>
      </c>
      <c r="H241" s="59"/>
      <c r="I241" s="72" t="str">
        <f aca="false">IF(H241="","",H241-G241)</f>
        <v/>
      </c>
      <c r="J241" s="33"/>
    </row>
    <row r="242" customFormat="false" ht="18" hidden="false" customHeight="true" outlineLevel="0" collapsed="false">
      <c r="A242" s="57" t="n">
        <v>238</v>
      </c>
      <c r="B242" s="73" t="n">
        <f aca="false">B237</f>
        <v>0</v>
      </c>
      <c r="C242" s="6" t="s">
        <v>340</v>
      </c>
      <c r="D242" s="8" t="s">
        <v>341</v>
      </c>
      <c r="E242" s="71" t="n">
        <f aca="false">'Norms &amp; Assumptions'!B48</f>
        <v>0.2</v>
      </c>
      <c r="F242" s="63" t="n">
        <f aca="false">IF(B237="",2,IF(B237&gt;=DATE(2026,4,8),4,2))</f>
        <v>2</v>
      </c>
      <c r="G242" s="71" t="n">
        <f aca="false">E242*F242</f>
        <v>0.4</v>
      </c>
      <c r="H242" s="59"/>
      <c r="I242" s="72" t="str">
        <f aca="false">IF(H242="","",H242-G242)</f>
        <v/>
      </c>
      <c r="J242" s="33"/>
    </row>
    <row r="243" customFormat="false" ht="18" hidden="false" customHeight="true" outlineLevel="0" collapsed="false">
      <c r="A243" s="57" t="n">
        <v>239</v>
      </c>
      <c r="B243" s="73" t="n">
        <f aca="false">B237</f>
        <v>0</v>
      </c>
      <c r="C243" s="6" t="s">
        <v>342</v>
      </c>
      <c r="D243" s="8" t="s">
        <v>343</v>
      </c>
      <c r="E243" s="71" t="n">
        <f aca="false">'Norms &amp; Assumptions'!B49</f>
        <v>0.05</v>
      </c>
      <c r="F243" s="63" t="n">
        <f aca="false">IF(B237="",2,IF(B237&gt;=DATE(2026,4,8),4,2))</f>
        <v>2</v>
      </c>
      <c r="G243" s="71" t="n">
        <f aca="false">E243*F243</f>
        <v>0.1</v>
      </c>
      <c r="H243" s="59"/>
      <c r="I243" s="72" t="str">
        <f aca="false">IF(H243="","",H243-G243)</f>
        <v/>
      </c>
      <c r="J243" s="33"/>
    </row>
    <row r="244" customFormat="false" ht="18" hidden="false" customHeight="true" outlineLevel="0" collapsed="false">
      <c r="A244" s="57" t="n">
        <v>240</v>
      </c>
      <c r="B244" s="73" t="n">
        <f aca="false">B237</f>
        <v>0</v>
      </c>
      <c r="C244" s="6" t="s">
        <v>98</v>
      </c>
      <c r="D244" s="8" t="s">
        <v>344</v>
      </c>
      <c r="E244" s="71" t="n">
        <f aca="false">'Norms &amp; Assumptions'!B50</f>
        <v>0.033</v>
      </c>
      <c r="F244" s="63" t="n">
        <f aca="false">IF(B237="",2,IF(B237&gt;=DATE(2026,4,8),4,2))</f>
        <v>2</v>
      </c>
      <c r="G244" s="71" t="n">
        <f aca="false">E244*F244</f>
        <v>0.066</v>
      </c>
      <c r="H244" s="59"/>
      <c r="I244" s="72" t="str">
        <f aca="false">IF(H244="","",H244-G244)</f>
        <v/>
      </c>
      <c r="J244" s="33"/>
    </row>
    <row r="245" customFormat="false" ht="18" hidden="false" customHeight="true" outlineLevel="0" collapsed="false">
      <c r="A245" s="57" t="n">
        <v>241</v>
      </c>
      <c r="B245" s="64"/>
      <c r="C245" s="6" t="s">
        <v>332</v>
      </c>
      <c r="D245" s="8" t="s">
        <v>333</v>
      </c>
      <c r="E245" s="71" t="n">
        <f aca="false">'Norms &amp; Assumptions'!B43</f>
        <v>2.5</v>
      </c>
      <c r="F245" s="63" t="n">
        <f aca="false">IF(B245="",2,IF(B245&gt;=DATE(2026,4,8),4,2))</f>
        <v>2</v>
      </c>
      <c r="G245" s="71" t="n">
        <f aca="false">E245*F245</f>
        <v>5</v>
      </c>
      <c r="H245" s="59"/>
      <c r="I245" s="72" t="str">
        <f aca="false">IF(H245="","",H245-G245)</f>
        <v/>
      </c>
      <c r="J245" s="33"/>
    </row>
    <row r="246" customFormat="false" ht="18" hidden="false" customHeight="true" outlineLevel="0" collapsed="false">
      <c r="A246" s="57" t="n">
        <v>242</v>
      </c>
      <c r="B246" s="73" t="n">
        <f aca="false">B245</f>
        <v>0</v>
      </c>
      <c r="C246" s="6" t="s">
        <v>81</v>
      </c>
      <c r="D246" s="8" t="s">
        <v>333</v>
      </c>
      <c r="E246" s="71" t="n">
        <f aca="false">'Norms &amp; Assumptions'!B44</f>
        <v>1.2</v>
      </c>
      <c r="F246" s="63" t="n">
        <f aca="false">IF(B245="",2,IF(B245&gt;=DATE(2026,4,8),4,2))</f>
        <v>2</v>
      </c>
      <c r="G246" s="71" t="n">
        <f aca="false">E246*F246</f>
        <v>2.4</v>
      </c>
      <c r="H246" s="59"/>
      <c r="I246" s="72" t="str">
        <f aca="false">IF(H246="","",H246-G246)</f>
        <v/>
      </c>
      <c r="J246" s="33"/>
    </row>
    <row r="247" customFormat="false" ht="18" hidden="false" customHeight="true" outlineLevel="0" collapsed="false">
      <c r="A247" s="57" t="n">
        <v>243</v>
      </c>
      <c r="B247" s="73" t="n">
        <f aca="false">B245</f>
        <v>0</v>
      </c>
      <c r="C247" s="6" t="s">
        <v>334</v>
      </c>
      <c r="D247" s="8" t="s">
        <v>335</v>
      </c>
      <c r="E247" s="71" t="n">
        <f aca="false">'Norms &amp; Assumptions'!B45</f>
        <v>0.5</v>
      </c>
      <c r="F247" s="63" t="n">
        <f aca="false">IF(B245="",2,IF(B245&gt;=DATE(2026,4,8),4,2))</f>
        <v>2</v>
      </c>
      <c r="G247" s="71" t="n">
        <f aca="false">E247*F247</f>
        <v>1</v>
      </c>
      <c r="H247" s="59"/>
      <c r="I247" s="72" t="str">
        <f aca="false">IF(H247="","",H247-G247)</f>
        <v/>
      </c>
      <c r="J247" s="33"/>
    </row>
    <row r="248" customFormat="false" ht="18" hidden="false" customHeight="true" outlineLevel="0" collapsed="false">
      <c r="A248" s="57" t="n">
        <v>244</v>
      </c>
      <c r="B248" s="73" t="n">
        <f aca="false">B245</f>
        <v>0</v>
      </c>
      <c r="C248" s="6" t="s">
        <v>336</v>
      </c>
      <c r="D248" s="8" t="s">
        <v>337</v>
      </c>
      <c r="E248" s="71" t="n">
        <f aca="false">'Norms &amp; Assumptions'!B46</f>
        <v>0.05</v>
      </c>
      <c r="F248" s="63" t="n">
        <f aca="false">IF(B245="",2,IF(B245&gt;=DATE(2026,4,8),4,2))</f>
        <v>2</v>
      </c>
      <c r="G248" s="71" t="n">
        <f aca="false">E248*F248</f>
        <v>0.1</v>
      </c>
      <c r="H248" s="59"/>
      <c r="I248" s="72" t="str">
        <f aca="false">IF(H248="","",H248-G248)</f>
        <v/>
      </c>
      <c r="J248" s="33"/>
    </row>
    <row r="249" customFormat="false" ht="18" hidden="false" customHeight="true" outlineLevel="0" collapsed="false">
      <c r="A249" s="57" t="n">
        <v>245</v>
      </c>
      <c r="B249" s="73" t="n">
        <f aca="false">B245</f>
        <v>0</v>
      </c>
      <c r="C249" s="6" t="s">
        <v>338</v>
      </c>
      <c r="D249" s="8" t="s">
        <v>339</v>
      </c>
      <c r="E249" s="71" t="n">
        <f aca="false">'Norms &amp; Assumptions'!B47</f>
        <v>0.2</v>
      </c>
      <c r="F249" s="63" t="n">
        <f aca="false">IF(B245="",2,IF(B245&gt;=DATE(2026,4,8),4,2))</f>
        <v>2</v>
      </c>
      <c r="G249" s="71" t="n">
        <f aca="false">E249*F249</f>
        <v>0.4</v>
      </c>
      <c r="H249" s="59"/>
      <c r="I249" s="72" t="str">
        <f aca="false">IF(H249="","",H249-G249)</f>
        <v/>
      </c>
      <c r="J249" s="33"/>
    </row>
    <row r="250" customFormat="false" ht="18" hidden="false" customHeight="true" outlineLevel="0" collapsed="false">
      <c r="A250" s="57" t="n">
        <v>246</v>
      </c>
      <c r="B250" s="73" t="n">
        <f aca="false">B245</f>
        <v>0</v>
      </c>
      <c r="C250" s="6" t="s">
        <v>340</v>
      </c>
      <c r="D250" s="8" t="s">
        <v>341</v>
      </c>
      <c r="E250" s="71" t="n">
        <f aca="false">'Norms &amp; Assumptions'!B48</f>
        <v>0.2</v>
      </c>
      <c r="F250" s="63" t="n">
        <f aca="false">IF(B245="",2,IF(B245&gt;=DATE(2026,4,8),4,2))</f>
        <v>2</v>
      </c>
      <c r="G250" s="71" t="n">
        <f aca="false">E250*F250</f>
        <v>0.4</v>
      </c>
      <c r="H250" s="59"/>
      <c r="I250" s="72" t="str">
        <f aca="false">IF(H250="","",H250-G250)</f>
        <v/>
      </c>
      <c r="J250" s="33"/>
    </row>
    <row r="251" customFormat="false" ht="18" hidden="false" customHeight="true" outlineLevel="0" collapsed="false">
      <c r="A251" s="57" t="n">
        <v>247</v>
      </c>
      <c r="B251" s="73" t="n">
        <f aca="false">B245</f>
        <v>0</v>
      </c>
      <c r="C251" s="6" t="s">
        <v>342</v>
      </c>
      <c r="D251" s="8" t="s">
        <v>343</v>
      </c>
      <c r="E251" s="71" t="n">
        <f aca="false">'Norms &amp; Assumptions'!B49</f>
        <v>0.05</v>
      </c>
      <c r="F251" s="63" t="n">
        <f aca="false">IF(B245="",2,IF(B245&gt;=DATE(2026,4,8),4,2))</f>
        <v>2</v>
      </c>
      <c r="G251" s="71" t="n">
        <f aca="false">E251*F251</f>
        <v>0.1</v>
      </c>
      <c r="H251" s="59"/>
      <c r="I251" s="72" t="str">
        <f aca="false">IF(H251="","",H251-G251)</f>
        <v/>
      </c>
      <c r="J251" s="33"/>
    </row>
    <row r="252" customFormat="false" ht="18" hidden="false" customHeight="true" outlineLevel="0" collapsed="false">
      <c r="A252" s="57" t="n">
        <v>248</v>
      </c>
      <c r="B252" s="73" t="n">
        <f aca="false">B245</f>
        <v>0</v>
      </c>
      <c r="C252" s="6" t="s">
        <v>98</v>
      </c>
      <c r="D252" s="8" t="s">
        <v>344</v>
      </c>
      <c r="E252" s="71" t="n">
        <f aca="false">'Norms &amp; Assumptions'!B50</f>
        <v>0.033</v>
      </c>
      <c r="F252" s="63" t="n">
        <f aca="false">IF(B245="",2,IF(B245&gt;=DATE(2026,4,8),4,2))</f>
        <v>2</v>
      </c>
      <c r="G252" s="71" t="n">
        <f aca="false">E252*F252</f>
        <v>0.066</v>
      </c>
      <c r="H252" s="59"/>
      <c r="I252" s="72" t="str">
        <f aca="false">IF(H252="","",H252-G252)</f>
        <v/>
      </c>
      <c r="J252" s="33"/>
    </row>
    <row r="253" customFormat="false" ht="18" hidden="false" customHeight="true" outlineLevel="0" collapsed="false">
      <c r="A253" s="57" t="n">
        <v>249</v>
      </c>
      <c r="B253" s="64"/>
      <c r="C253" s="6" t="s">
        <v>332</v>
      </c>
      <c r="D253" s="8" t="s">
        <v>333</v>
      </c>
      <c r="E253" s="71" t="n">
        <f aca="false">'Norms &amp; Assumptions'!B43</f>
        <v>2.5</v>
      </c>
      <c r="F253" s="63" t="n">
        <f aca="false">IF(B253="",2,IF(B253&gt;=DATE(2026,4,8),4,2))</f>
        <v>2</v>
      </c>
      <c r="G253" s="71" t="n">
        <f aca="false">E253*F253</f>
        <v>5</v>
      </c>
      <c r="H253" s="59"/>
      <c r="I253" s="72" t="str">
        <f aca="false">IF(H253="","",H253-G253)</f>
        <v/>
      </c>
      <c r="J253" s="33"/>
    </row>
    <row r="254" customFormat="false" ht="18" hidden="false" customHeight="true" outlineLevel="0" collapsed="false">
      <c r="A254" s="57" t="n">
        <v>250</v>
      </c>
      <c r="B254" s="73" t="n">
        <f aca="false">B253</f>
        <v>0</v>
      </c>
      <c r="C254" s="6" t="s">
        <v>81</v>
      </c>
      <c r="D254" s="8" t="s">
        <v>333</v>
      </c>
      <c r="E254" s="71" t="n">
        <f aca="false">'Norms &amp; Assumptions'!B44</f>
        <v>1.2</v>
      </c>
      <c r="F254" s="63" t="n">
        <f aca="false">IF(B253="",2,IF(B253&gt;=DATE(2026,4,8),4,2))</f>
        <v>2</v>
      </c>
      <c r="G254" s="71" t="n">
        <f aca="false">E254*F254</f>
        <v>2.4</v>
      </c>
      <c r="H254" s="59"/>
      <c r="I254" s="72" t="str">
        <f aca="false">IF(H254="","",H254-G254)</f>
        <v/>
      </c>
      <c r="J254" s="33"/>
    </row>
    <row r="255" customFormat="false" ht="18" hidden="false" customHeight="true" outlineLevel="0" collapsed="false">
      <c r="A255" s="57" t="n">
        <v>251</v>
      </c>
      <c r="B255" s="73" t="n">
        <f aca="false">B253</f>
        <v>0</v>
      </c>
      <c r="C255" s="6" t="s">
        <v>334</v>
      </c>
      <c r="D255" s="8" t="s">
        <v>335</v>
      </c>
      <c r="E255" s="71" t="n">
        <f aca="false">'Norms &amp; Assumptions'!B45</f>
        <v>0.5</v>
      </c>
      <c r="F255" s="63" t="n">
        <f aca="false">IF(B253="",2,IF(B253&gt;=DATE(2026,4,8),4,2))</f>
        <v>2</v>
      </c>
      <c r="G255" s="71" t="n">
        <f aca="false">E255*F255</f>
        <v>1</v>
      </c>
      <c r="H255" s="59"/>
      <c r="I255" s="72" t="str">
        <f aca="false">IF(H255="","",H255-G255)</f>
        <v/>
      </c>
      <c r="J255" s="33"/>
    </row>
    <row r="256" customFormat="false" ht="18" hidden="false" customHeight="true" outlineLevel="0" collapsed="false">
      <c r="A256" s="57" t="n">
        <v>252</v>
      </c>
      <c r="B256" s="73" t="n">
        <f aca="false">B253</f>
        <v>0</v>
      </c>
      <c r="C256" s="6" t="s">
        <v>336</v>
      </c>
      <c r="D256" s="8" t="s">
        <v>337</v>
      </c>
      <c r="E256" s="71" t="n">
        <f aca="false">'Norms &amp; Assumptions'!B46</f>
        <v>0.05</v>
      </c>
      <c r="F256" s="63" t="n">
        <f aca="false">IF(B253="",2,IF(B253&gt;=DATE(2026,4,8),4,2))</f>
        <v>2</v>
      </c>
      <c r="G256" s="71" t="n">
        <f aca="false">E256*F256</f>
        <v>0.1</v>
      </c>
      <c r="H256" s="59"/>
      <c r="I256" s="72" t="str">
        <f aca="false">IF(H256="","",H256-G256)</f>
        <v/>
      </c>
      <c r="J256" s="33"/>
    </row>
    <row r="257" customFormat="false" ht="18" hidden="false" customHeight="true" outlineLevel="0" collapsed="false">
      <c r="A257" s="57" t="n">
        <v>253</v>
      </c>
      <c r="B257" s="73" t="n">
        <f aca="false">B253</f>
        <v>0</v>
      </c>
      <c r="C257" s="6" t="s">
        <v>338</v>
      </c>
      <c r="D257" s="8" t="s">
        <v>339</v>
      </c>
      <c r="E257" s="71" t="n">
        <f aca="false">'Norms &amp; Assumptions'!B47</f>
        <v>0.2</v>
      </c>
      <c r="F257" s="63" t="n">
        <f aca="false">IF(B253="",2,IF(B253&gt;=DATE(2026,4,8),4,2))</f>
        <v>2</v>
      </c>
      <c r="G257" s="71" t="n">
        <f aca="false">E257*F257</f>
        <v>0.4</v>
      </c>
      <c r="H257" s="59"/>
      <c r="I257" s="72" t="str">
        <f aca="false">IF(H257="","",H257-G257)</f>
        <v/>
      </c>
      <c r="J257" s="33"/>
    </row>
    <row r="258" customFormat="false" ht="18" hidden="false" customHeight="true" outlineLevel="0" collapsed="false">
      <c r="A258" s="57" t="n">
        <v>254</v>
      </c>
      <c r="B258" s="73" t="n">
        <f aca="false">B253</f>
        <v>0</v>
      </c>
      <c r="C258" s="6" t="s">
        <v>340</v>
      </c>
      <c r="D258" s="8" t="s">
        <v>341</v>
      </c>
      <c r="E258" s="71" t="n">
        <f aca="false">'Norms &amp; Assumptions'!B48</f>
        <v>0.2</v>
      </c>
      <c r="F258" s="63" t="n">
        <f aca="false">IF(B253="",2,IF(B253&gt;=DATE(2026,4,8),4,2))</f>
        <v>2</v>
      </c>
      <c r="G258" s="71" t="n">
        <f aca="false">E258*F258</f>
        <v>0.4</v>
      </c>
      <c r="H258" s="59"/>
      <c r="I258" s="72" t="str">
        <f aca="false">IF(H258="","",H258-G258)</f>
        <v/>
      </c>
      <c r="J258" s="33"/>
    </row>
    <row r="259" customFormat="false" ht="18" hidden="false" customHeight="true" outlineLevel="0" collapsed="false">
      <c r="A259" s="57" t="n">
        <v>255</v>
      </c>
      <c r="B259" s="73" t="n">
        <f aca="false">B253</f>
        <v>0</v>
      </c>
      <c r="C259" s="6" t="s">
        <v>342</v>
      </c>
      <c r="D259" s="8" t="s">
        <v>343</v>
      </c>
      <c r="E259" s="71" t="n">
        <f aca="false">'Norms &amp; Assumptions'!B49</f>
        <v>0.05</v>
      </c>
      <c r="F259" s="63" t="n">
        <f aca="false">IF(B253="",2,IF(B253&gt;=DATE(2026,4,8),4,2))</f>
        <v>2</v>
      </c>
      <c r="G259" s="71" t="n">
        <f aca="false">E259*F259</f>
        <v>0.1</v>
      </c>
      <c r="H259" s="59"/>
      <c r="I259" s="72" t="str">
        <f aca="false">IF(H259="","",H259-G259)</f>
        <v/>
      </c>
      <c r="J259" s="33"/>
    </row>
    <row r="260" customFormat="false" ht="18" hidden="false" customHeight="true" outlineLevel="0" collapsed="false">
      <c r="A260" s="57" t="n">
        <v>256</v>
      </c>
      <c r="B260" s="73" t="n">
        <f aca="false">B253</f>
        <v>0</v>
      </c>
      <c r="C260" s="6" t="s">
        <v>98</v>
      </c>
      <c r="D260" s="8" t="s">
        <v>344</v>
      </c>
      <c r="E260" s="71" t="n">
        <f aca="false">'Norms &amp; Assumptions'!B50</f>
        <v>0.033</v>
      </c>
      <c r="F260" s="63" t="n">
        <f aca="false">IF(B253="",2,IF(B253&gt;=DATE(2026,4,8),4,2))</f>
        <v>2</v>
      </c>
      <c r="G260" s="71" t="n">
        <f aca="false">E260*F260</f>
        <v>0.066</v>
      </c>
      <c r="H260" s="59"/>
      <c r="I260" s="72" t="str">
        <f aca="false">IF(H260="","",H260-G260)</f>
        <v/>
      </c>
      <c r="J260" s="33"/>
    </row>
    <row r="261" customFormat="false" ht="18" hidden="false" customHeight="true" outlineLevel="0" collapsed="false">
      <c r="A261" s="57" t="n">
        <v>257</v>
      </c>
      <c r="B261" s="64"/>
      <c r="C261" s="6" t="s">
        <v>332</v>
      </c>
      <c r="D261" s="8" t="s">
        <v>333</v>
      </c>
      <c r="E261" s="71" t="n">
        <f aca="false">'Norms &amp; Assumptions'!B43</f>
        <v>2.5</v>
      </c>
      <c r="F261" s="63" t="n">
        <f aca="false">IF(B261="",2,IF(B261&gt;=DATE(2026,4,8),4,2))</f>
        <v>2</v>
      </c>
      <c r="G261" s="71" t="n">
        <f aca="false">E261*F261</f>
        <v>5</v>
      </c>
      <c r="H261" s="59"/>
      <c r="I261" s="72" t="str">
        <f aca="false">IF(H261="","",H261-G261)</f>
        <v/>
      </c>
      <c r="J261" s="33"/>
    </row>
    <row r="262" customFormat="false" ht="18" hidden="false" customHeight="true" outlineLevel="0" collapsed="false">
      <c r="A262" s="57" t="n">
        <v>258</v>
      </c>
      <c r="B262" s="73" t="n">
        <f aca="false">B261</f>
        <v>0</v>
      </c>
      <c r="C262" s="6" t="s">
        <v>81</v>
      </c>
      <c r="D262" s="8" t="s">
        <v>333</v>
      </c>
      <c r="E262" s="71" t="n">
        <f aca="false">'Norms &amp; Assumptions'!B44</f>
        <v>1.2</v>
      </c>
      <c r="F262" s="63" t="n">
        <f aca="false">IF(B261="",2,IF(B261&gt;=DATE(2026,4,8),4,2))</f>
        <v>2</v>
      </c>
      <c r="G262" s="71" t="n">
        <f aca="false">E262*F262</f>
        <v>2.4</v>
      </c>
      <c r="H262" s="59"/>
      <c r="I262" s="72" t="str">
        <f aca="false">IF(H262="","",H262-G262)</f>
        <v/>
      </c>
      <c r="J262" s="33"/>
    </row>
    <row r="263" customFormat="false" ht="18" hidden="false" customHeight="true" outlineLevel="0" collapsed="false">
      <c r="A263" s="57" t="n">
        <v>259</v>
      </c>
      <c r="B263" s="73" t="n">
        <f aca="false">B261</f>
        <v>0</v>
      </c>
      <c r="C263" s="6" t="s">
        <v>334</v>
      </c>
      <c r="D263" s="8" t="s">
        <v>335</v>
      </c>
      <c r="E263" s="71" t="n">
        <f aca="false">'Norms &amp; Assumptions'!B45</f>
        <v>0.5</v>
      </c>
      <c r="F263" s="63" t="n">
        <f aca="false">IF(B261="",2,IF(B261&gt;=DATE(2026,4,8),4,2))</f>
        <v>2</v>
      </c>
      <c r="G263" s="71" t="n">
        <f aca="false">E263*F263</f>
        <v>1</v>
      </c>
      <c r="H263" s="59"/>
      <c r="I263" s="72" t="str">
        <f aca="false">IF(H263="","",H263-G263)</f>
        <v/>
      </c>
      <c r="J263" s="33"/>
    </row>
    <row r="264" customFormat="false" ht="18" hidden="false" customHeight="true" outlineLevel="0" collapsed="false">
      <c r="A264" s="57" t="n">
        <v>260</v>
      </c>
      <c r="B264" s="73" t="n">
        <f aca="false">B261</f>
        <v>0</v>
      </c>
      <c r="C264" s="6" t="s">
        <v>336</v>
      </c>
      <c r="D264" s="8" t="s">
        <v>337</v>
      </c>
      <c r="E264" s="71" t="n">
        <f aca="false">'Norms &amp; Assumptions'!B46</f>
        <v>0.05</v>
      </c>
      <c r="F264" s="63" t="n">
        <f aca="false">IF(B261="",2,IF(B261&gt;=DATE(2026,4,8),4,2))</f>
        <v>2</v>
      </c>
      <c r="G264" s="71" t="n">
        <f aca="false">E264*F264</f>
        <v>0.1</v>
      </c>
      <c r="H264" s="59"/>
      <c r="I264" s="72" t="str">
        <f aca="false">IF(H264="","",H264-G264)</f>
        <v/>
      </c>
      <c r="J264" s="33"/>
    </row>
    <row r="265" customFormat="false" ht="18" hidden="false" customHeight="true" outlineLevel="0" collapsed="false">
      <c r="A265" s="57" t="n">
        <v>261</v>
      </c>
      <c r="B265" s="73" t="n">
        <f aca="false">B261</f>
        <v>0</v>
      </c>
      <c r="C265" s="6" t="s">
        <v>338</v>
      </c>
      <c r="D265" s="8" t="s">
        <v>339</v>
      </c>
      <c r="E265" s="71" t="n">
        <f aca="false">'Norms &amp; Assumptions'!B47</f>
        <v>0.2</v>
      </c>
      <c r="F265" s="63" t="n">
        <f aca="false">IF(B261="",2,IF(B261&gt;=DATE(2026,4,8),4,2))</f>
        <v>2</v>
      </c>
      <c r="G265" s="71" t="n">
        <f aca="false">E265*F265</f>
        <v>0.4</v>
      </c>
      <c r="H265" s="59"/>
      <c r="I265" s="72" t="str">
        <f aca="false">IF(H265="","",H265-G265)</f>
        <v/>
      </c>
      <c r="J265" s="33"/>
    </row>
    <row r="266" customFormat="false" ht="18" hidden="false" customHeight="true" outlineLevel="0" collapsed="false">
      <c r="A266" s="57" t="n">
        <v>262</v>
      </c>
      <c r="B266" s="73" t="n">
        <f aca="false">B261</f>
        <v>0</v>
      </c>
      <c r="C266" s="6" t="s">
        <v>340</v>
      </c>
      <c r="D266" s="8" t="s">
        <v>341</v>
      </c>
      <c r="E266" s="71" t="n">
        <f aca="false">'Norms &amp; Assumptions'!B48</f>
        <v>0.2</v>
      </c>
      <c r="F266" s="63" t="n">
        <f aca="false">IF(B261="",2,IF(B261&gt;=DATE(2026,4,8),4,2))</f>
        <v>2</v>
      </c>
      <c r="G266" s="71" t="n">
        <f aca="false">E266*F266</f>
        <v>0.4</v>
      </c>
      <c r="H266" s="59"/>
      <c r="I266" s="72" t="str">
        <f aca="false">IF(H266="","",H266-G266)</f>
        <v/>
      </c>
      <c r="J266" s="33"/>
    </row>
    <row r="267" customFormat="false" ht="18" hidden="false" customHeight="true" outlineLevel="0" collapsed="false">
      <c r="A267" s="57" t="n">
        <v>263</v>
      </c>
      <c r="B267" s="73" t="n">
        <f aca="false">B261</f>
        <v>0</v>
      </c>
      <c r="C267" s="6" t="s">
        <v>342</v>
      </c>
      <c r="D267" s="8" t="s">
        <v>343</v>
      </c>
      <c r="E267" s="71" t="n">
        <f aca="false">'Norms &amp; Assumptions'!B49</f>
        <v>0.05</v>
      </c>
      <c r="F267" s="63" t="n">
        <f aca="false">IF(B261="",2,IF(B261&gt;=DATE(2026,4,8),4,2))</f>
        <v>2</v>
      </c>
      <c r="G267" s="71" t="n">
        <f aca="false">E267*F267</f>
        <v>0.1</v>
      </c>
      <c r="H267" s="59"/>
      <c r="I267" s="72" t="str">
        <f aca="false">IF(H267="","",H267-G267)</f>
        <v/>
      </c>
      <c r="J267" s="33"/>
    </row>
    <row r="268" customFormat="false" ht="18" hidden="false" customHeight="true" outlineLevel="0" collapsed="false">
      <c r="A268" s="57" t="n">
        <v>264</v>
      </c>
      <c r="B268" s="73" t="n">
        <f aca="false">B261</f>
        <v>0</v>
      </c>
      <c r="C268" s="6" t="s">
        <v>98</v>
      </c>
      <c r="D268" s="8" t="s">
        <v>344</v>
      </c>
      <c r="E268" s="71" t="n">
        <f aca="false">'Norms &amp; Assumptions'!B50</f>
        <v>0.033</v>
      </c>
      <c r="F268" s="63" t="n">
        <f aca="false">IF(B261="",2,IF(B261&gt;=DATE(2026,4,8),4,2))</f>
        <v>2</v>
      </c>
      <c r="G268" s="71" t="n">
        <f aca="false">E268*F268</f>
        <v>0.066</v>
      </c>
      <c r="H268" s="59"/>
      <c r="I268" s="72" t="str">
        <f aca="false">IF(H268="","",H268-G268)</f>
        <v/>
      </c>
      <c r="J268" s="33"/>
    </row>
    <row r="269" customFormat="false" ht="18" hidden="false" customHeight="true" outlineLevel="0" collapsed="false">
      <c r="A269" s="57" t="n">
        <v>265</v>
      </c>
      <c r="B269" s="64"/>
      <c r="C269" s="6" t="s">
        <v>332</v>
      </c>
      <c r="D269" s="8" t="s">
        <v>333</v>
      </c>
      <c r="E269" s="71" t="n">
        <f aca="false">'Norms &amp; Assumptions'!B43</f>
        <v>2.5</v>
      </c>
      <c r="F269" s="63" t="n">
        <f aca="false">IF(B269="",2,IF(B269&gt;=DATE(2026,4,8),4,2))</f>
        <v>2</v>
      </c>
      <c r="G269" s="71" t="n">
        <f aca="false">E269*F269</f>
        <v>5</v>
      </c>
      <c r="H269" s="59"/>
      <c r="I269" s="72" t="str">
        <f aca="false">IF(H269="","",H269-G269)</f>
        <v/>
      </c>
      <c r="J269" s="33"/>
    </row>
    <row r="270" customFormat="false" ht="18" hidden="false" customHeight="true" outlineLevel="0" collapsed="false">
      <c r="A270" s="57" t="n">
        <v>266</v>
      </c>
      <c r="B270" s="73" t="n">
        <f aca="false">B269</f>
        <v>0</v>
      </c>
      <c r="C270" s="6" t="s">
        <v>81</v>
      </c>
      <c r="D270" s="8" t="s">
        <v>333</v>
      </c>
      <c r="E270" s="71" t="n">
        <f aca="false">'Norms &amp; Assumptions'!B44</f>
        <v>1.2</v>
      </c>
      <c r="F270" s="63" t="n">
        <f aca="false">IF(B269="",2,IF(B269&gt;=DATE(2026,4,8),4,2))</f>
        <v>2</v>
      </c>
      <c r="G270" s="71" t="n">
        <f aca="false">E270*F270</f>
        <v>2.4</v>
      </c>
      <c r="H270" s="59"/>
      <c r="I270" s="72" t="str">
        <f aca="false">IF(H270="","",H270-G270)</f>
        <v/>
      </c>
      <c r="J270" s="33"/>
    </row>
    <row r="271" customFormat="false" ht="18" hidden="false" customHeight="true" outlineLevel="0" collapsed="false">
      <c r="A271" s="57" t="n">
        <v>267</v>
      </c>
      <c r="B271" s="73" t="n">
        <f aca="false">B269</f>
        <v>0</v>
      </c>
      <c r="C271" s="6" t="s">
        <v>334</v>
      </c>
      <c r="D271" s="8" t="s">
        <v>335</v>
      </c>
      <c r="E271" s="71" t="n">
        <f aca="false">'Norms &amp; Assumptions'!B45</f>
        <v>0.5</v>
      </c>
      <c r="F271" s="63" t="n">
        <f aca="false">IF(B269="",2,IF(B269&gt;=DATE(2026,4,8),4,2))</f>
        <v>2</v>
      </c>
      <c r="G271" s="71" t="n">
        <f aca="false">E271*F271</f>
        <v>1</v>
      </c>
      <c r="H271" s="59"/>
      <c r="I271" s="72" t="str">
        <f aca="false">IF(H271="","",H271-G271)</f>
        <v/>
      </c>
      <c r="J271" s="33"/>
    </row>
    <row r="272" customFormat="false" ht="18" hidden="false" customHeight="true" outlineLevel="0" collapsed="false">
      <c r="A272" s="57" t="n">
        <v>268</v>
      </c>
      <c r="B272" s="73" t="n">
        <f aca="false">B269</f>
        <v>0</v>
      </c>
      <c r="C272" s="6" t="s">
        <v>336</v>
      </c>
      <c r="D272" s="8" t="s">
        <v>337</v>
      </c>
      <c r="E272" s="71" t="n">
        <f aca="false">'Norms &amp; Assumptions'!B46</f>
        <v>0.05</v>
      </c>
      <c r="F272" s="63" t="n">
        <f aca="false">IF(B269="",2,IF(B269&gt;=DATE(2026,4,8),4,2))</f>
        <v>2</v>
      </c>
      <c r="G272" s="71" t="n">
        <f aca="false">E272*F272</f>
        <v>0.1</v>
      </c>
      <c r="H272" s="59"/>
      <c r="I272" s="72" t="str">
        <f aca="false">IF(H272="","",H272-G272)</f>
        <v/>
      </c>
      <c r="J272" s="33"/>
    </row>
    <row r="273" customFormat="false" ht="18" hidden="false" customHeight="true" outlineLevel="0" collapsed="false">
      <c r="A273" s="57" t="n">
        <v>269</v>
      </c>
      <c r="B273" s="73" t="n">
        <f aca="false">B269</f>
        <v>0</v>
      </c>
      <c r="C273" s="6" t="s">
        <v>338</v>
      </c>
      <c r="D273" s="8" t="s">
        <v>339</v>
      </c>
      <c r="E273" s="71" t="n">
        <f aca="false">'Norms &amp; Assumptions'!B47</f>
        <v>0.2</v>
      </c>
      <c r="F273" s="63" t="n">
        <f aca="false">IF(B269="",2,IF(B269&gt;=DATE(2026,4,8),4,2))</f>
        <v>2</v>
      </c>
      <c r="G273" s="71" t="n">
        <f aca="false">E273*F273</f>
        <v>0.4</v>
      </c>
      <c r="H273" s="59"/>
      <c r="I273" s="72" t="str">
        <f aca="false">IF(H273="","",H273-G273)</f>
        <v/>
      </c>
      <c r="J273" s="33"/>
    </row>
    <row r="274" customFormat="false" ht="18" hidden="false" customHeight="true" outlineLevel="0" collapsed="false">
      <c r="A274" s="57" t="n">
        <v>270</v>
      </c>
      <c r="B274" s="73" t="n">
        <f aca="false">B269</f>
        <v>0</v>
      </c>
      <c r="C274" s="6" t="s">
        <v>340</v>
      </c>
      <c r="D274" s="8" t="s">
        <v>341</v>
      </c>
      <c r="E274" s="71" t="n">
        <f aca="false">'Norms &amp; Assumptions'!B48</f>
        <v>0.2</v>
      </c>
      <c r="F274" s="63" t="n">
        <f aca="false">IF(B269="",2,IF(B269&gt;=DATE(2026,4,8),4,2))</f>
        <v>2</v>
      </c>
      <c r="G274" s="71" t="n">
        <f aca="false">E274*F274</f>
        <v>0.4</v>
      </c>
      <c r="H274" s="59"/>
      <c r="I274" s="72" t="str">
        <f aca="false">IF(H274="","",H274-G274)</f>
        <v/>
      </c>
      <c r="J274" s="33"/>
    </row>
    <row r="275" customFormat="false" ht="18" hidden="false" customHeight="true" outlineLevel="0" collapsed="false">
      <c r="A275" s="57" t="n">
        <v>271</v>
      </c>
      <c r="B275" s="73" t="n">
        <f aca="false">B269</f>
        <v>0</v>
      </c>
      <c r="C275" s="6" t="s">
        <v>342</v>
      </c>
      <c r="D275" s="8" t="s">
        <v>343</v>
      </c>
      <c r="E275" s="71" t="n">
        <f aca="false">'Norms &amp; Assumptions'!B49</f>
        <v>0.05</v>
      </c>
      <c r="F275" s="63" t="n">
        <f aca="false">IF(B269="",2,IF(B269&gt;=DATE(2026,4,8),4,2))</f>
        <v>2</v>
      </c>
      <c r="G275" s="71" t="n">
        <f aca="false">E275*F275</f>
        <v>0.1</v>
      </c>
      <c r="H275" s="59"/>
      <c r="I275" s="72" t="str">
        <f aca="false">IF(H275="","",H275-G275)</f>
        <v/>
      </c>
      <c r="J275" s="33"/>
    </row>
    <row r="276" customFormat="false" ht="18" hidden="false" customHeight="true" outlineLevel="0" collapsed="false">
      <c r="A276" s="57" t="n">
        <v>272</v>
      </c>
      <c r="B276" s="73" t="n">
        <f aca="false">B269</f>
        <v>0</v>
      </c>
      <c r="C276" s="6" t="s">
        <v>98</v>
      </c>
      <c r="D276" s="8" t="s">
        <v>344</v>
      </c>
      <c r="E276" s="71" t="n">
        <f aca="false">'Norms &amp; Assumptions'!B50</f>
        <v>0.033</v>
      </c>
      <c r="F276" s="63" t="n">
        <f aca="false">IF(B269="",2,IF(B269&gt;=DATE(2026,4,8),4,2))</f>
        <v>2</v>
      </c>
      <c r="G276" s="71" t="n">
        <f aca="false">E276*F276</f>
        <v>0.066</v>
      </c>
      <c r="H276" s="59"/>
      <c r="I276" s="72" t="str">
        <f aca="false">IF(H276="","",H276-G276)</f>
        <v/>
      </c>
      <c r="J276" s="33"/>
    </row>
    <row r="277" customFormat="false" ht="18" hidden="false" customHeight="true" outlineLevel="0" collapsed="false">
      <c r="A277" s="57" t="n">
        <v>273</v>
      </c>
      <c r="B277" s="64"/>
      <c r="C277" s="6" t="s">
        <v>332</v>
      </c>
      <c r="D277" s="8" t="s">
        <v>333</v>
      </c>
      <c r="E277" s="71" t="n">
        <f aca="false">'Norms &amp; Assumptions'!B43</f>
        <v>2.5</v>
      </c>
      <c r="F277" s="63" t="n">
        <f aca="false">IF(B277="",2,IF(B277&gt;=DATE(2026,4,8),4,2))</f>
        <v>2</v>
      </c>
      <c r="G277" s="71" t="n">
        <f aca="false">E277*F277</f>
        <v>5</v>
      </c>
      <c r="H277" s="59"/>
      <c r="I277" s="72" t="str">
        <f aca="false">IF(H277="","",H277-G277)</f>
        <v/>
      </c>
      <c r="J277" s="33"/>
    </row>
    <row r="278" customFormat="false" ht="18" hidden="false" customHeight="true" outlineLevel="0" collapsed="false">
      <c r="A278" s="57" t="n">
        <v>274</v>
      </c>
      <c r="B278" s="73" t="n">
        <f aca="false">B277</f>
        <v>0</v>
      </c>
      <c r="C278" s="6" t="s">
        <v>81</v>
      </c>
      <c r="D278" s="8" t="s">
        <v>333</v>
      </c>
      <c r="E278" s="71" t="n">
        <f aca="false">'Norms &amp; Assumptions'!B44</f>
        <v>1.2</v>
      </c>
      <c r="F278" s="63" t="n">
        <f aca="false">IF(B277="",2,IF(B277&gt;=DATE(2026,4,8),4,2))</f>
        <v>2</v>
      </c>
      <c r="G278" s="71" t="n">
        <f aca="false">E278*F278</f>
        <v>2.4</v>
      </c>
      <c r="H278" s="59"/>
      <c r="I278" s="72" t="str">
        <f aca="false">IF(H278="","",H278-G278)</f>
        <v/>
      </c>
      <c r="J278" s="33"/>
    </row>
    <row r="279" customFormat="false" ht="18" hidden="false" customHeight="true" outlineLevel="0" collapsed="false">
      <c r="A279" s="57" t="n">
        <v>275</v>
      </c>
      <c r="B279" s="73" t="n">
        <f aca="false">B277</f>
        <v>0</v>
      </c>
      <c r="C279" s="6" t="s">
        <v>334</v>
      </c>
      <c r="D279" s="8" t="s">
        <v>335</v>
      </c>
      <c r="E279" s="71" t="n">
        <f aca="false">'Norms &amp; Assumptions'!B45</f>
        <v>0.5</v>
      </c>
      <c r="F279" s="63" t="n">
        <f aca="false">IF(B277="",2,IF(B277&gt;=DATE(2026,4,8),4,2))</f>
        <v>2</v>
      </c>
      <c r="G279" s="71" t="n">
        <f aca="false">E279*F279</f>
        <v>1</v>
      </c>
      <c r="H279" s="59"/>
      <c r="I279" s="72" t="str">
        <f aca="false">IF(H279="","",H279-G279)</f>
        <v/>
      </c>
      <c r="J279" s="33"/>
    </row>
    <row r="280" customFormat="false" ht="18" hidden="false" customHeight="true" outlineLevel="0" collapsed="false">
      <c r="A280" s="57" t="n">
        <v>276</v>
      </c>
      <c r="B280" s="73" t="n">
        <f aca="false">B277</f>
        <v>0</v>
      </c>
      <c r="C280" s="6" t="s">
        <v>336</v>
      </c>
      <c r="D280" s="8" t="s">
        <v>337</v>
      </c>
      <c r="E280" s="71" t="n">
        <f aca="false">'Norms &amp; Assumptions'!B46</f>
        <v>0.05</v>
      </c>
      <c r="F280" s="63" t="n">
        <f aca="false">IF(B277="",2,IF(B277&gt;=DATE(2026,4,8),4,2))</f>
        <v>2</v>
      </c>
      <c r="G280" s="71" t="n">
        <f aca="false">E280*F280</f>
        <v>0.1</v>
      </c>
      <c r="H280" s="59"/>
      <c r="I280" s="72" t="str">
        <f aca="false">IF(H280="","",H280-G280)</f>
        <v/>
      </c>
      <c r="J280" s="33"/>
    </row>
    <row r="281" customFormat="false" ht="18" hidden="false" customHeight="true" outlineLevel="0" collapsed="false">
      <c r="A281" s="57" t="n">
        <v>277</v>
      </c>
      <c r="B281" s="73" t="n">
        <f aca="false">B277</f>
        <v>0</v>
      </c>
      <c r="C281" s="6" t="s">
        <v>338</v>
      </c>
      <c r="D281" s="8" t="s">
        <v>339</v>
      </c>
      <c r="E281" s="71" t="n">
        <f aca="false">'Norms &amp; Assumptions'!B47</f>
        <v>0.2</v>
      </c>
      <c r="F281" s="63" t="n">
        <f aca="false">IF(B277="",2,IF(B277&gt;=DATE(2026,4,8),4,2))</f>
        <v>2</v>
      </c>
      <c r="G281" s="71" t="n">
        <f aca="false">E281*F281</f>
        <v>0.4</v>
      </c>
      <c r="H281" s="59"/>
      <c r="I281" s="72" t="str">
        <f aca="false">IF(H281="","",H281-G281)</f>
        <v/>
      </c>
      <c r="J281" s="33"/>
    </row>
    <row r="282" customFormat="false" ht="18" hidden="false" customHeight="true" outlineLevel="0" collapsed="false">
      <c r="A282" s="57" t="n">
        <v>278</v>
      </c>
      <c r="B282" s="73" t="n">
        <f aca="false">B277</f>
        <v>0</v>
      </c>
      <c r="C282" s="6" t="s">
        <v>340</v>
      </c>
      <c r="D282" s="8" t="s">
        <v>341</v>
      </c>
      <c r="E282" s="71" t="n">
        <f aca="false">'Norms &amp; Assumptions'!B48</f>
        <v>0.2</v>
      </c>
      <c r="F282" s="63" t="n">
        <f aca="false">IF(B277="",2,IF(B277&gt;=DATE(2026,4,8),4,2))</f>
        <v>2</v>
      </c>
      <c r="G282" s="71" t="n">
        <f aca="false">E282*F282</f>
        <v>0.4</v>
      </c>
      <c r="H282" s="59"/>
      <c r="I282" s="72" t="str">
        <f aca="false">IF(H282="","",H282-G282)</f>
        <v/>
      </c>
      <c r="J282" s="33"/>
    </row>
    <row r="283" customFormat="false" ht="18" hidden="false" customHeight="true" outlineLevel="0" collapsed="false">
      <c r="A283" s="57" t="n">
        <v>279</v>
      </c>
      <c r="B283" s="73" t="n">
        <f aca="false">B277</f>
        <v>0</v>
      </c>
      <c r="C283" s="6" t="s">
        <v>342</v>
      </c>
      <c r="D283" s="8" t="s">
        <v>343</v>
      </c>
      <c r="E283" s="71" t="n">
        <f aca="false">'Norms &amp; Assumptions'!B49</f>
        <v>0.05</v>
      </c>
      <c r="F283" s="63" t="n">
        <f aca="false">IF(B277="",2,IF(B277&gt;=DATE(2026,4,8),4,2))</f>
        <v>2</v>
      </c>
      <c r="G283" s="71" t="n">
        <f aca="false">E283*F283</f>
        <v>0.1</v>
      </c>
      <c r="H283" s="59"/>
      <c r="I283" s="72" t="str">
        <f aca="false">IF(H283="","",H283-G283)</f>
        <v/>
      </c>
      <c r="J283" s="33"/>
    </row>
    <row r="284" customFormat="false" ht="18" hidden="false" customHeight="true" outlineLevel="0" collapsed="false">
      <c r="A284" s="57" t="n">
        <v>280</v>
      </c>
      <c r="B284" s="73" t="n">
        <f aca="false">B277</f>
        <v>0</v>
      </c>
      <c r="C284" s="6" t="s">
        <v>98</v>
      </c>
      <c r="D284" s="8" t="s">
        <v>344</v>
      </c>
      <c r="E284" s="71" t="n">
        <f aca="false">'Norms &amp; Assumptions'!B50</f>
        <v>0.033</v>
      </c>
      <c r="F284" s="63" t="n">
        <f aca="false">IF(B277="",2,IF(B277&gt;=DATE(2026,4,8),4,2))</f>
        <v>2</v>
      </c>
      <c r="G284" s="71" t="n">
        <f aca="false">E284*F284</f>
        <v>0.066</v>
      </c>
      <c r="H284" s="59"/>
      <c r="I284" s="72" t="str">
        <f aca="false">IF(H284="","",H284-G284)</f>
        <v/>
      </c>
      <c r="J284" s="33"/>
    </row>
    <row r="285" customFormat="false" ht="18" hidden="false" customHeight="true" outlineLevel="0" collapsed="false">
      <c r="A285" s="57" t="n">
        <v>281</v>
      </c>
      <c r="B285" s="64"/>
      <c r="C285" s="6" t="s">
        <v>332</v>
      </c>
      <c r="D285" s="8" t="s">
        <v>333</v>
      </c>
      <c r="E285" s="71" t="n">
        <f aca="false">'Norms &amp; Assumptions'!B43</f>
        <v>2.5</v>
      </c>
      <c r="F285" s="63" t="n">
        <f aca="false">IF(B285="",2,IF(B285&gt;=DATE(2026,4,8),4,2))</f>
        <v>2</v>
      </c>
      <c r="G285" s="71" t="n">
        <f aca="false">E285*F285</f>
        <v>5</v>
      </c>
      <c r="H285" s="59"/>
      <c r="I285" s="72" t="str">
        <f aca="false">IF(H285="","",H285-G285)</f>
        <v/>
      </c>
      <c r="J285" s="33"/>
    </row>
    <row r="286" customFormat="false" ht="18" hidden="false" customHeight="true" outlineLevel="0" collapsed="false">
      <c r="A286" s="57" t="n">
        <v>282</v>
      </c>
      <c r="B286" s="73" t="n">
        <f aca="false">B285</f>
        <v>0</v>
      </c>
      <c r="C286" s="6" t="s">
        <v>81</v>
      </c>
      <c r="D286" s="8" t="s">
        <v>333</v>
      </c>
      <c r="E286" s="71" t="n">
        <f aca="false">'Norms &amp; Assumptions'!B44</f>
        <v>1.2</v>
      </c>
      <c r="F286" s="63" t="n">
        <f aca="false">IF(B285="",2,IF(B285&gt;=DATE(2026,4,8),4,2))</f>
        <v>2</v>
      </c>
      <c r="G286" s="71" t="n">
        <f aca="false">E286*F286</f>
        <v>2.4</v>
      </c>
      <c r="H286" s="59"/>
      <c r="I286" s="72" t="str">
        <f aca="false">IF(H286="","",H286-G286)</f>
        <v/>
      </c>
      <c r="J286" s="33"/>
    </row>
    <row r="287" customFormat="false" ht="18" hidden="false" customHeight="true" outlineLevel="0" collapsed="false">
      <c r="A287" s="57" t="n">
        <v>283</v>
      </c>
      <c r="B287" s="73" t="n">
        <f aca="false">B285</f>
        <v>0</v>
      </c>
      <c r="C287" s="6" t="s">
        <v>334</v>
      </c>
      <c r="D287" s="8" t="s">
        <v>335</v>
      </c>
      <c r="E287" s="71" t="n">
        <f aca="false">'Norms &amp; Assumptions'!B45</f>
        <v>0.5</v>
      </c>
      <c r="F287" s="63" t="n">
        <f aca="false">IF(B285="",2,IF(B285&gt;=DATE(2026,4,8),4,2))</f>
        <v>2</v>
      </c>
      <c r="G287" s="71" t="n">
        <f aca="false">E287*F287</f>
        <v>1</v>
      </c>
      <c r="H287" s="59"/>
      <c r="I287" s="72" t="str">
        <f aca="false">IF(H287="","",H287-G287)</f>
        <v/>
      </c>
      <c r="J287" s="33"/>
    </row>
    <row r="288" customFormat="false" ht="18" hidden="false" customHeight="true" outlineLevel="0" collapsed="false">
      <c r="A288" s="57" t="n">
        <v>284</v>
      </c>
      <c r="B288" s="73" t="n">
        <f aca="false">B285</f>
        <v>0</v>
      </c>
      <c r="C288" s="6" t="s">
        <v>336</v>
      </c>
      <c r="D288" s="8" t="s">
        <v>337</v>
      </c>
      <c r="E288" s="71" t="n">
        <f aca="false">'Norms &amp; Assumptions'!B46</f>
        <v>0.05</v>
      </c>
      <c r="F288" s="63" t="n">
        <f aca="false">IF(B285="",2,IF(B285&gt;=DATE(2026,4,8),4,2))</f>
        <v>2</v>
      </c>
      <c r="G288" s="71" t="n">
        <f aca="false">E288*F288</f>
        <v>0.1</v>
      </c>
      <c r="H288" s="59"/>
      <c r="I288" s="72" t="str">
        <f aca="false">IF(H288="","",H288-G288)</f>
        <v/>
      </c>
      <c r="J288" s="33"/>
    </row>
    <row r="289" customFormat="false" ht="18" hidden="false" customHeight="true" outlineLevel="0" collapsed="false">
      <c r="A289" s="57" t="n">
        <v>285</v>
      </c>
      <c r="B289" s="73" t="n">
        <f aca="false">B285</f>
        <v>0</v>
      </c>
      <c r="C289" s="6" t="s">
        <v>338</v>
      </c>
      <c r="D289" s="8" t="s">
        <v>339</v>
      </c>
      <c r="E289" s="71" t="n">
        <f aca="false">'Norms &amp; Assumptions'!B47</f>
        <v>0.2</v>
      </c>
      <c r="F289" s="63" t="n">
        <f aca="false">IF(B285="",2,IF(B285&gt;=DATE(2026,4,8),4,2))</f>
        <v>2</v>
      </c>
      <c r="G289" s="71" t="n">
        <f aca="false">E289*F289</f>
        <v>0.4</v>
      </c>
      <c r="H289" s="59"/>
      <c r="I289" s="72" t="str">
        <f aca="false">IF(H289="","",H289-G289)</f>
        <v/>
      </c>
      <c r="J289" s="33"/>
    </row>
    <row r="290" customFormat="false" ht="18" hidden="false" customHeight="true" outlineLevel="0" collapsed="false">
      <c r="A290" s="57" t="n">
        <v>286</v>
      </c>
      <c r="B290" s="73" t="n">
        <f aca="false">B285</f>
        <v>0</v>
      </c>
      <c r="C290" s="6" t="s">
        <v>340</v>
      </c>
      <c r="D290" s="8" t="s">
        <v>341</v>
      </c>
      <c r="E290" s="71" t="n">
        <f aca="false">'Norms &amp; Assumptions'!B48</f>
        <v>0.2</v>
      </c>
      <c r="F290" s="63" t="n">
        <f aca="false">IF(B285="",2,IF(B285&gt;=DATE(2026,4,8),4,2))</f>
        <v>2</v>
      </c>
      <c r="G290" s="71" t="n">
        <f aca="false">E290*F290</f>
        <v>0.4</v>
      </c>
      <c r="H290" s="59"/>
      <c r="I290" s="72" t="str">
        <f aca="false">IF(H290="","",H290-G290)</f>
        <v/>
      </c>
      <c r="J290" s="33"/>
    </row>
    <row r="291" customFormat="false" ht="18" hidden="false" customHeight="true" outlineLevel="0" collapsed="false">
      <c r="A291" s="57" t="n">
        <v>287</v>
      </c>
      <c r="B291" s="73" t="n">
        <f aca="false">B285</f>
        <v>0</v>
      </c>
      <c r="C291" s="6" t="s">
        <v>342</v>
      </c>
      <c r="D291" s="8" t="s">
        <v>343</v>
      </c>
      <c r="E291" s="71" t="n">
        <f aca="false">'Norms &amp; Assumptions'!B49</f>
        <v>0.05</v>
      </c>
      <c r="F291" s="63" t="n">
        <f aca="false">IF(B285="",2,IF(B285&gt;=DATE(2026,4,8),4,2))</f>
        <v>2</v>
      </c>
      <c r="G291" s="71" t="n">
        <f aca="false">E291*F291</f>
        <v>0.1</v>
      </c>
      <c r="H291" s="59"/>
      <c r="I291" s="72" t="str">
        <f aca="false">IF(H291="","",H291-G291)</f>
        <v/>
      </c>
      <c r="J291" s="33"/>
    </row>
    <row r="292" customFormat="false" ht="18" hidden="false" customHeight="true" outlineLevel="0" collapsed="false">
      <c r="A292" s="57" t="n">
        <v>288</v>
      </c>
      <c r="B292" s="73" t="n">
        <f aca="false">B285</f>
        <v>0</v>
      </c>
      <c r="C292" s="6" t="s">
        <v>98</v>
      </c>
      <c r="D292" s="8" t="s">
        <v>344</v>
      </c>
      <c r="E292" s="71" t="n">
        <f aca="false">'Norms &amp; Assumptions'!B50</f>
        <v>0.033</v>
      </c>
      <c r="F292" s="63" t="n">
        <f aca="false">IF(B285="",2,IF(B285&gt;=DATE(2026,4,8),4,2))</f>
        <v>2</v>
      </c>
      <c r="G292" s="71" t="n">
        <f aca="false">E292*F292</f>
        <v>0.066</v>
      </c>
      <c r="H292" s="59"/>
      <c r="I292" s="72" t="str">
        <f aca="false">IF(H292="","",H292-G292)</f>
        <v/>
      </c>
      <c r="J292" s="33"/>
    </row>
    <row r="293" customFormat="false" ht="18" hidden="false" customHeight="true" outlineLevel="0" collapsed="false">
      <c r="A293" s="57" t="n">
        <v>289</v>
      </c>
      <c r="B293" s="64"/>
      <c r="C293" s="6" t="s">
        <v>332</v>
      </c>
      <c r="D293" s="8" t="s">
        <v>333</v>
      </c>
      <c r="E293" s="71" t="n">
        <f aca="false">'Norms &amp; Assumptions'!B43</f>
        <v>2.5</v>
      </c>
      <c r="F293" s="63" t="n">
        <f aca="false">IF(B293="",2,IF(B293&gt;=DATE(2026,4,8),4,2))</f>
        <v>2</v>
      </c>
      <c r="G293" s="71" t="n">
        <f aca="false">E293*F293</f>
        <v>5</v>
      </c>
      <c r="H293" s="59"/>
      <c r="I293" s="72" t="str">
        <f aca="false">IF(H293="","",H293-G293)</f>
        <v/>
      </c>
      <c r="J293" s="33"/>
    </row>
    <row r="294" customFormat="false" ht="18" hidden="false" customHeight="true" outlineLevel="0" collapsed="false">
      <c r="A294" s="57" t="n">
        <v>290</v>
      </c>
      <c r="B294" s="73" t="n">
        <f aca="false">B293</f>
        <v>0</v>
      </c>
      <c r="C294" s="6" t="s">
        <v>81</v>
      </c>
      <c r="D294" s="8" t="s">
        <v>333</v>
      </c>
      <c r="E294" s="71" t="n">
        <f aca="false">'Norms &amp; Assumptions'!B44</f>
        <v>1.2</v>
      </c>
      <c r="F294" s="63" t="n">
        <f aca="false">IF(B293="",2,IF(B293&gt;=DATE(2026,4,8),4,2))</f>
        <v>2</v>
      </c>
      <c r="G294" s="71" t="n">
        <f aca="false">E294*F294</f>
        <v>2.4</v>
      </c>
      <c r="H294" s="59"/>
      <c r="I294" s="72" t="str">
        <f aca="false">IF(H294="","",H294-G294)</f>
        <v/>
      </c>
      <c r="J294" s="33"/>
    </row>
    <row r="295" customFormat="false" ht="18" hidden="false" customHeight="true" outlineLevel="0" collapsed="false">
      <c r="A295" s="57" t="n">
        <v>291</v>
      </c>
      <c r="B295" s="73" t="n">
        <f aca="false">B293</f>
        <v>0</v>
      </c>
      <c r="C295" s="6" t="s">
        <v>334</v>
      </c>
      <c r="D295" s="8" t="s">
        <v>335</v>
      </c>
      <c r="E295" s="71" t="n">
        <f aca="false">'Norms &amp; Assumptions'!B45</f>
        <v>0.5</v>
      </c>
      <c r="F295" s="63" t="n">
        <f aca="false">IF(B293="",2,IF(B293&gt;=DATE(2026,4,8),4,2))</f>
        <v>2</v>
      </c>
      <c r="G295" s="71" t="n">
        <f aca="false">E295*F295</f>
        <v>1</v>
      </c>
      <c r="H295" s="59"/>
      <c r="I295" s="72" t="str">
        <f aca="false">IF(H295="","",H295-G295)</f>
        <v/>
      </c>
      <c r="J295" s="33"/>
    </row>
    <row r="296" customFormat="false" ht="18" hidden="false" customHeight="true" outlineLevel="0" collapsed="false">
      <c r="A296" s="57" t="n">
        <v>292</v>
      </c>
      <c r="B296" s="73" t="n">
        <f aca="false">B293</f>
        <v>0</v>
      </c>
      <c r="C296" s="6" t="s">
        <v>336</v>
      </c>
      <c r="D296" s="8" t="s">
        <v>337</v>
      </c>
      <c r="E296" s="71" t="n">
        <f aca="false">'Norms &amp; Assumptions'!B46</f>
        <v>0.05</v>
      </c>
      <c r="F296" s="63" t="n">
        <f aca="false">IF(B293="",2,IF(B293&gt;=DATE(2026,4,8),4,2))</f>
        <v>2</v>
      </c>
      <c r="G296" s="71" t="n">
        <f aca="false">E296*F296</f>
        <v>0.1</v>
      </c>
      <c r="H296" s="59"/>
      <c r="I296" s="72" t="str">
        <f aca="false">IF(H296="","",H296-G296)</f>
        <v/>
      </c>
      <c r="J296" s="33"/>
    </row>
    <row r="297" customFormat="false" ht="18" hidden="false" customHeight="true" outlineLevel="0" collapsed="false">
      <c r="A297" s="57" t="n">
        <v>293</v>
      </c>
      <c r="B297" s="73" t="n">
        <f aca="false">B293</f>
        <v>0</v>
      </c>
      <c r="C297" s="6" t="s">
        <v>338</v>
      </c>
      <c r="D297" s="8" t="s">
        <v>339</v>
      </c>
      <c r="E297" s="71" t="n">
        <f aca="false">'Norms &amp; Assumptions'!B47</f>
        <v>0.2</v>
      </c>
      <c r="F297" s="63" t="n">
        <f aca="false">IF(B293="",2,IF(B293&gt;=DATE(2026,4,8),4,2))</f>
        <v>2</v>
      </c>
      <c r="G297" s="71" t="n">
        <f aca="false">E297*F297</f>
        <v>0.4</v>
      </c>
      <c r="H297" s="59"/>
      <c r="I297" s="72" t="str">
        <f aca="false">IF(H297="","",H297-G297)</f>
        <v/>
      </c>
      <c r="J297" s="33"/>
    </row>
    <row r="298" customFormat="false" ht="18" hidden="false" customHeight="true" outlineLevel="0" collapsed="false">
      <c r="A298" s="57" t="n">
        <v>294</v>
      </c>
      <c r="B298" s="73" t="n">
        <f aca="false">B293</f>
        <v>0</v>
      </c>
      <c r="C298" s="6" t="s">
        <v>340</v>
      </c>
      <c r="D298" s="8" t="s">
        <v>341</v>
      </c>
      <c r="E298" s="71" t="n">
        <f aca="false">'Norms &amp; Assumptions'!B48</f>
        <v>0.2</v>
      </c>
      <c r="F298" s="63" t="n">
        <f aca="false">IF(B293="",2,IF(B293&gt;=DATE(2026,4,8),4,2))</f>
        <v>2</v>
      </c>
      <c r="G298" s="71" t="n">
        <f aca="false">E298*F298</f>
        <v>0.4</v>
      </c>
      <c r="H298" s="59"/>
      <c r="I298" s="72" t="str">
        <f aca="false">IF(H298="","",H298-G298)</f>
        <v/>
      </c>
      <c r="J298" s="33"/>
    </row>
    <row r="299" customFormat="false" ht="18" hidden="false" customHeight="true" outlineLevel="0" collapsed="false">
      <c r="A299" s="57" t="n">
        <v>295</v>
      </c>
      <c r="B299" s="73" t="n">
        <f aca="false">B293</f>
        <v>0</v>
      </c>
      <c r="C299" s="6" t="s">
        <v>342</v>
      </c>
      <c r="D299" s="8" t="s">
        <v>343</v>
      </c>
      <c r="E299" s="71" t="n">
        <f aca="false">'Norms &amp; Assumptions'!B49</f>
        <v>0.05</v>
      </c>
      <c r="F299" s="63" t="n">
        <f aca="false">IF(B293="",2,IF(B293&gt;=DATE(2026,4,8),4,2))</f>
        <v>2</v>
      </c>
      <c r="G299" s="71" t="n">
        <f aca="false">E299*F299</f>
        <v>0.1</v>
      </c>
      <c r="H299" s="59"/>
      <c r="I299" s="72" t="str">
        <f aca="false">IF(H299="","",H299-G299)</f>
        <v/>
      </c>
      <c r="J299" s="33"/>
    </row>
    <row r="300" customFormat="false" ht="18" hidden="false" customHeight="true" outlineLevel="0" collapsed="false">
      <c r="A300" s="57" t="n">
        <v>296</v>
      </c>
      <c r="B300" s="73" t="n">
        <f aca="false">B293</f>
        <v>0</v>
      </c>
      <c r="C300" s="6" t="s">
        <v>98</v>
      </c>
      <c r="D300" s="8" t="s">
        <v>344</v>
      </c>
      <c r="E300" s="71" t="n">
        <f aca="false">'Norms &amp; Assumptions'!B50</f>
        <v>0.033</v>
      </c>
      <c r="F300" s="63" t="n">
        <f aca="false">IF(B293="",2,IF(B293&gt;=DATE(2026,4,8),4,2))</f>
        <v>2</v>
      </c>
      <c r="G300" s="71" t="n">
        <f aca="false">E300*F300</f>
        <v>0.066</v>
      </c>
      <c r="H300" s="59"/>
      <c r="I300" s="72" t="str">
        <f aca="false">IF(H300="","",H300-G300)</f>
        <v/>
      </c>
      <c r="J300" s="33"/>
    </row>
    <row r="301" customFormat="false" ht="18" hidden="false" customHeight="true" outlineLevel="0" collapsed="false">
      <c r="A301" s="57" t="n">
        <v>297</v>
      </c>
      <c r="B301" s="64"/>
      <c r="C301" s="6" t="s">
        <v>332</v>
      </c>
      <c r="D301" s="8" t="s">
        <v>333</v>
      </c>
      <c r="E301" s="71" t="n">
        <f aca="false">'Norms &amp; Assumptions'!B43</f>
        <v>2.5</v>
      </c>
      <c r="F301" s="63" t="n">
        <f aca="false">IF(B301="",2,IF(B301&gt;=DATE(2026,4,8),4,2))</f>
        <v>2</v>
      </c>
      <c r="G301" s="71" t="n">
        <f aca="false">E301*F301</f>
        <v>5</v>
      </c>
      <c r="H301" s="59"/>
      <c r="I301" s="72" t="str">
        <f aca="false">IF(H301="","",H301-G301)</f>
        <v/>
      </c>
      <c r="J301" s="33"/>
    </row>
    <row r="302" customFormat="false" ht="18" hidden="false" customHeight="true" outlineLevel="0" collapsed="false">
      <c r="A302" s="57" t="n">
        <v>298</v>
      </c>
      <c r="B302" s="73" t="n">
        <f aca="false">B301</f>
        <v>0</v>
      </c>
      <c r="C302" s="6" t="s">
        <v>81</v>
      </c>
      <c r="D302" s="8" t="s">
        <v>333</v>
      </c>
      <c r="E302" s="71" t="n">
        <f aca="false">'Norms &amp; Assumptions'!B44</f>
        <v>1.2</v>
      </c>
      <c r="F302" s="63" t="n">
        <f aca="false">IF(B301="",2,IF(B301&gt;=DATE(2026,4,8),4,2))</f>
        <v>2</v>
      </c>
      <c r="G302" s="71" t="n">
        <f aca="false">E302*F302</f>
        <v>2.4</v>
      </c>
      <c r="H302" s="59"/>
      <c r="I302" s="72" t="str">
        <f aca="false">IF(H302="","",H302-G302)</f>
        <v/>
      </c>
      <c r="J302" s="33"/>
    </row>
    <row r="303" customFormat="false" ht="18" hidden="false" customHeight="true" outlineLevel="0" collapsed="false">
      <c r="A303" s="57" t="n">
        <v>299</v>
      </c>
      <c r="B303" s="73" t="n">
        <f aca="false">B301</f>
        <v>0</v>
      </c>
      <c r="C303" s="6" t="s">
        <v>334</v>
      </c>
      <c r="D303" s="8" t="s">
        <v>335</v>
      </c>
      <c r="E303" s="71" t="n">
        <f aca="false">'Norms &amp; Assumptions'!B45</f>
        <v>0.5</v>
      </c>
      <c r="F303" s="63" t="n">
        <f aca="false">IF(B301="",2,IF(B301&gt;=DATE(2026,4,8),4,2))</f>
        <v>2</v>
      </c>
      <c r="G303" s="71" t="n">
        <f aca="false">E303*F303</f>
        <v>1</v>
      </c>
      <c r="H303" s="59"/>
      <c r="I303" s="72" t="str">
        <f aca="false">IF(H303="","",H303-G303)</f>
        <v/>
      </c>
      <c r="J303" s="33"/>
    </row>
    <row r="304" customFormat="false" ht="18" hidden="false" customHeight="true" outlineLevel="0" collapsed="false">
      <c r="A304" s="57" t="n">
        <v>300</v>
      </c>
      <c r="B304" s="73" t="n">
        <f aca="false">B301</f>
        <v>0</v>
      </c>
      <c r="C304" s="6" t="s">
        <v>336</v>
      </c>
      <c r="D304" s="8" t="s">
        <v>337</v>
      </c>
      <c r="E304" s="71" t="n">
        <f aca="false">'Norms &amp; Assumptions'!B46</f>
        <v>0.05</v>
      </c>
      <c r="F304" s="63" t="n">
        <f aca="false">IF(B301="",2,IF(B301&gt;=DATE(2026,4,8),4,2))</f>
        <v>2</v>
      </c>
      <c r="G304" s="71" t="n">
        <f aca="false">E304*F304</f>
        <v>0.1</v>
      </c>
      <c r="H304" s="59"/>
      <c r="I304" s="72" t="str">
        <f aca="false">IF(H304="","",H304-G304)</f>
        <v/>
      </c>
      <c r="J304" s="33"/>
    </row>
    <row r="305" customFormat="false" ht="18" hidden="false" customHeight="true" outlineLevel="0" collapsed="false">
      <c r="A305" s="57" t="n">
        <v>301</v>
      </c>
      <c r="B305" s="73" t="n">
        <f aca="false">B301</f>
        <v>0</v>
      </c>
      <c r="C305" s="6" t="s">
        <v>338</v>
      </c>
      <c r="D305" s="8" t="s">
        <v>339</v>
      </c>
      <c r="E305" s="71" t="n">
        <f aca="false">'Norms &amp; Assumptions'!B47</f>
        <v>0.2</v>
      </c>
      <c r="F305" s="63" t="n">
        <f aca="false">IF(B301="",2,IF(B301&gt;=DATE(2026,4,8),4,2))</f>
        <v>2</v>
      </c>
      <c r="G305" s="71" t="n">
        <f aca="false">E305*F305</f>
        <v>0.4</v>
      </c>
      <c r="H305" s="59"/>
      <c r="I305" s="72" t="str">
        <f aca="false">IF(H305="","",H305-G305)</f>
        <v/>
      </c>
      <c r="J305" s="33"/>
    </row>
    <row r="306" customFormat="false" ht="18" hidden="false" customHeight="true" outlineLevel="0" collapsed="false">
      <c r="A306" s="57" t="n">
        <v>302</v>
      </c>
      <c r="B306" s="73" t="n">
        <f aca="false">B301</f>
        <v>0</v>
      </c>
      <c r="C306" s="6" t="s">
        <v>340</v>
      </c>
      <c r="D306" s="8" t="s">
        <v>341</v>
      </c>
      <c r="E306" s="71" t="n">
        <f aca="false">'Norms &amp; Assumptions'!B48</f>
        <v>0.2</v>
      </c>
      <c r="F306" s="63" t="n">
        <f aca="false">IF(B301="",2,IF(B301&gt;=DATE(2026,4,8),4,2))</f>
        <v>2</v>
      </c>
      <c r="G306" s="71" t="n">
        <f aca="false">E306*F306</f>
        <v>0.4</v>
      </c>
      <c r="H306" s="59"/>
      <c r="I306" s="72" t="str">
        <f aca="false">IF(H306="","",H306-G306)</f>
        <v/>
      </c>
      <c r="J306" s="33"/>
    </row>
    <row r="307" customFormat="false" ht="18" hidden="false" customHeight="true" outlineLevel="0" collapsed="false">
      <c r="A307" s="57" t="n">
        <v>303</v>
      </c>
      <c r="B307" s="73" t="n">
        <f aca="false">B301</f>
        <v>0</v>
      </c>
      <c r="C307" s="6" t="s">
        <v>342</v>
      </c>
      <c r="D307" s="8" t="s">
        <v>343</v>
      </c>
      <c r="E307" s="71" t="n">
        <f aca="false">'Norms &amp; Assumptions'!B49</f>
        <v>0.05</v>
      </c>
      <c r="F307" s="63" t="n">
        <f aca="false">IF(B301="",2,IF(B301&gt;=DATE(2026,4,8),4,2))</f>
        <v>2</v>
      </c>
      <c r="G307" s="71" t="n">
        <f aca="false">E307*F307</f>
        <v>0.1</v>
      </c>
      <c r="H307" s="59"/>
      <c r="I307" s="72" t="str">
        <f aca="false">IF(H307="","",H307-G307)</f>
        <v/>
      </c>
      <c r="J307" s="33"/>
    </row>
    <row r="308" customFormat="false" ht="18" hidden="false" customHeight="true" outlineLevel="0" collapsed="false">
      <c r="A308" s="57" t="n">
        <v>304</v>
      </c>
      <c r="B308" s="73" t="n">
        <f aca="false">B301</f>
        <v>0</v>
      </c>
      <c r="C308" s="6" t="s">
        <v>98</v>
      </c>
      <c r="D308" s="8" t="s">
        <v>344</v>
      </c>
      <c r="E308" s="71" t="n">
        <f aca="false">'Norms &amp; Assumptions'!B50</f>
        <v>0.033</v>
      </c>
      <c r="F308" s="63" t="n">
        <f aca="false">IF(B301="",2,IF(B301&gt;=DATE(2026,4,8),4,2))</f>
        <v>2</v>
      </c>
      <c r="G308" s="71" t="n">
        <f aca="false">E308*F308</f>
        <v>0.066</v>
      </c>
      <c r="H308" s="59"/>
      <c r="I308" s="72" t="str">
        <f aca="false">IF(H308="","",H308-G308)</f>
        <v/>
      </c>
      <c r="J308" s="33"/>
    </row>
    <row r="309" customFormat="false" ht="18" hidden="false" customHeight="true" outlineLevel="0" collapsed="false">
      <c r="A309" s="57" t="n">
        <v>305</v>
      </c>
      <c r="B309" s="64"/>
      <c r="C309" s="6" t="s">
        <v>332</v>
      </c>
      <c r="D309" s="8" t="s">
        <v>333</v>
      </c>
      <c r="E309" s="71" t="n">
        <f aca="false">'Norms &amp; Assumptions'!B43</f>
        <v>2.5</v>
      </c>
      <c r="F309" s="63" t="n">
        <f aca="false">IF(B309="",2,IF(B309&gt;=DATE(2026,4,8),4,2))</f>
        <v>2</v>
      </c>
      <c r="G309" s="71" t="n">
        <f aca="false">E309*F309</f>
        <v>5</v>
      </c>
      <c r="H309" s="59"/>
      <c r="I309" s="72" t="str">
        <f aca="false">IF(H309="","",H309-G309)</f>
        <v/>
      </c>
      <c r="J309" s="33"/>
    </row>
    <row r="310" customFormat="false" ht="18" hidden="false" customHeight="true" outlineLevel="0" collapsed="false">
      <c r="A310" s="57" t="n">
        <v>306</v>
      </c>
      <c r="B310" s="73" t="n">
        <f aca="false">B309</f>
        <v>0</v>
      </c>
      <c r="C310" s="6" t="s">
        <v>81</v>
      </c>
      <c r="D310" s="8" t="s">
        <v>333</v>
      </c>
      <c r="E310" s="71" t="n">
        <f aca="false">'Norms &amp; Assumptions'!B44</f>
        <v>1.2</v>
      </c>
      <c r="F310" s="63" t="n">
        <f aca="false">IF(B309="",2,IF(B309&gt;=DATE(2026,4,8),4,2))</f>
        <v>2</v>
      </c>
      <c r="G310" s="71" t="n">
        <f aca="false">E310*F310</f>
        <v>2.4</v>
      </c>
      <c r="H310" s="59"/>
      <c r="I310" s="72" t="str">
        <f aca="false">IF(H310="","",H310-G310)</f>
        <v/>
      </c>
      <c r="J310" s="33"/>
    </row>
    <row r="311" customFormat="false" ht="18" hidden="false" customHeight="true" outlineLevel="0" collapsed="false">
      <c r="A311" s="57" t="n">
        <v>307</v>
      </c>
      <c r="B311" s="73" t="n">
        <f aca="false">B309</f>
        <v>0</v>
      </c>
      <c r="C311" s="6" t="s">
        <v>334</v>
      </c>
      <c r="D311" s="8" t="s">
        <v>335</v>
      </c>
      <c r="E311" s="71" t="n">
        <f aca="false">'Norms &amp; Assumptions'!B45</f>
        <v>0.5</v>
      </c>
      <c r="F311" s="63" t="n">
        <f aca="false">IF(B309="",2,IF(B309&gt;=DATE(2026,4,8),4,2))</f>
        <v>2</v>
      </c>
      <c r="G311" s="71" t="n">
        <f aca="false">E311*F311</f>
        <v>1</v>
      </c>
      <c r="H311" s="59"/>
      <c r="I311" s="72" t="str">
        <f aca="false">IF(H311="","",H311-G311)</f>
        <v/>
      </c>
      <c r="J311" s="33"/>
    </row>
    <row r="312" customFormat="false" ht="18" hidden="false" customHeight="true" outlineLevel="0" collapsed="false">
      <c r="A312" s="57" t="n">
        <v>308</v>
      </c>
      <c r="B312" s="73" t="n">
        <f aca="false">B309</f>
        <v>0</v>
      </c>
      <c r="C312" s="6" t="s">
        <v>336</v>
      </c>
      <c r="D312" s="8" t="s">
        <v>337</v>
      </c>
      <c r="E312" s="71" t="n">
        <f aca="false">'Norms &amp; Assumptions'!B46</f>
        <v>0.05</v>
      </c>
      <c r="F312" s="63" t="n">
        <f aca="false">IF(B309="",2,IF(B309&gt;=DATE(2026,4,8),4,2))</f>
        <v>2</v>
      </c>
      <c r="G312" s="71" t="n">
        <f aca="false">E312*F312</f>
        <v>0.1</v>
      </c>
      <c r="H312" s="59"/>
      <c r="I312" s="72" t="str">
        <f aca="false">IF(H312="","",H312-G312)</f>
        <v/>
      </c>
      <c r="J312" s="33"/>
    </row>
    <row r="313" customFormat="false" ht="18" hidden="false" customHeight="true" outlineLevel="0" collapsed="false">
      <c r="A313" s="57" t="n">
        <v>309</v>
      </c>
      <c r="B313" s="73" t="n">
        <f aca="false">B309</f>
        <v>0</v>
      </c>
      <c r="C313" s="6" t="s">
        <v>338</v>
      </c>
      <c r="D313" s="8" t="s">
        <v>339</v>
      </c>
      <c r="E313" s="71" t="n">
        <f aca="false">'Norms &amp; Assumptions'!B47</f>
        <v>0.2</v>
      </c>
      <c r="F313" s="63" t="n">
        <f aca="false">IF(B309="",2,IF(B309&gt;=DATE(2026,4,8),4,2))</f>
        <v>2</v>
      </c>
      <c r="G313" s="71" t="n">
        <f aca="false">E313*F313</f>
        <v>0.4</v>
      </c>
      <c r="H313" s="59"/>
      <c r="I313" s="72" t="str">
        <f aca="false">IF(H313="","",H313-G313)</f>
        <v/>
      </c>
      <c r="J313" s="33"/>
    </row>
    <row r="314" customFormat="false" ht="18" hidden="false" customHeight="true" outlineLevel="0" collapsed="false">
      <c r="A314" s="57" t="n">
        <v>310</v>
      </c>
      <c r="B314" s="73" t="n">
        <f aca="false">B309</f>
        <v>0</v>
      </c>
      <c r="C314" s="6" t="s">
        <v>340</v>
      </c>
      <c r="D314" s="8" t="s">
        <v>341</v>
      </c>
      <c r="E314" s="71" t="n">
        <f aca="false">'Norms &amp; Assumptions'!B48</f>
        <v>0.2</v>
      </c>
      <c r="F314" s="63" t="n">
        <f aca="false">IF(B309="",2,IF(B309&gt;=DATE(2026,4,8),4,2))</f>
        <v>2</v>
      </c>
      <c r="G314" s="71" t="n">
        <f aca="false">E314*F314</f>
        <v>0.4</v>
      </c>
      <c r="H314" s="59"/>
      <c r="I314" s="72" t="str">
        <f aca="false">IF(H314="","",H314-G314)</f>
        <v/>
      </c>
      <c r="J314" s="33"/>
    </row>
    <row r="315" customFormat="false" ht="18" hidden="false" customHeight="true" outlineLevel="0" collapsed="false">
      <c r="A315" s="57" t="n">
        <v>311</v>
      </c>
      <c r="B315" s="73" t="n">
        <f aca="false">B309</f>
        <v>0</v>
      </c>
      <c r="C315" s="6" t="s">
        <v>342</v>
      </c>
      <c r="D315" s="8" t="s">
        <v>343</v>
      </c>
      <c r="E315" s="71" t="n">
        <f aca="false">'Norms &amp; Assumptions'!B49</f>
        <v>0.05</v>
      </c>
      <c r="F315" s="63" t="n">
        <f aca="false">IF(B309="",2,IF(B309&gt;=DATE(2026,4,8),4,2))</f>
        <v>2</v>
      </c>
      <c r="G315" s="71" t="n">
        <f aca="false">E315*F315</f>
        <v>0.1</v>
      </c>
      <c r="H315" s="59"/>
      <c r="I315" s="72" t="str">
        <f aca="false">IF(H315="","",H315-G315)</f>
        <v/>
      </c>
      <c r="J315" s="33"/>
    </row>
    <row r="316" customFormat="false" ht="18" hidden="false" customHeight="true" outlineLevel="0" collapsed="false">
      <c r="A316" s="57" t="n">
        <v>312</v>
      </c>
      <c r="B316" s="73" t="n">
        <f aca="false">B309</f>
        <v>0</v>
      </c>
      <c r="C316" s="6" t="s">
        <v>98</v>
      </c>
      <c r="D316" s="8" t="s">
        <v>344</v>
      </c>
      <c r="E316" s="71" t="n">
        <f aca="false">'Norms &amp; Assumptions'!B50</f>
        <v>0.033</v>
      </c>
      <c r="F316" s="63" t="n">
        <f aca="false">IF(B309="",2,IF(B309&gt;=DATE(2026,4,8),4,2))</f>
        <v>2</v>
      </c>
      <c r="G316" s="71" t="n">
        <f aca="false">E316*F316</f>
        <v>0.066</v>
      </c>
      <c r="H316" s="59"/>
      <c r="I316" s="72" t="str">
        <f aca="false">IF(H316="","",H316-G316)</f>
        <v/>
      </c>
      <c r="J316" s="33"/>
    </row>
    <row r="317" customFormat="false" ht="18" hidden="false" customHeight="true" outlineLevel="0" collapsed="false">
      <c r="A317" s="57" t="n">
        <v>313</v>
      </c>
      <c r="B317" s="64"/>
      <c r="C317" s="6" t="s">
        <v>332</v>
      </c>
      <c r="D317" s="8" t="s">
        <v>333</v>
      </c>
      <c r="E317" s="71" t="n">
        <f aca="false">'Norms &amp; Assumptions'!B43</f>
        <v>2.5</v>
      </c>
      <c r="F317" s="63" t="n">
        <f aca="false">IF(B317="",2,IF(B317&gt;=DATE(2026,4,8),4,2))</f>
        <v>2</v>
      </c>
      <c r="G317" s="71" t="n">
        <f aca="false">E317*F317</f>
        <v>5</v>
      </c>
      <c r="H317" s="59"/>
      <c r="I317" s="72" t="str">
        <f aca="false">IF(H317="","",H317-G317)</f>
        <v/>
      </c>
      <c r="J317" s="33"/>
    </row>
    <row r="318" customFormat="false" ht="18" hidden="false" customHeight="true" outlineLevel="0" collapsed="false">
      <c r="A318" s="57" t="n">
        <v>314</v>
      </c>
      <c r="B318" s="73" t="n">
        <f aca="false">B317</f>
        <v>0</v>
      </c>
      <c r="C318" s="6" t="s">
        <v>81</v>
      </c>
      <c r="D318" s="8" t="s">
        <v>333</v>
      </c>
      <c r="E318" s="71" t="n">
        <f aca="false">'Norms &amp; Assumptions'!B44</f>
        <v>1.2</v>
      </c>
      <c r="F318" s="63" t="n">
        <f aca="false">IF(B317="",2,IF(B317&gt;=DATE(2026,4,8),4,2))</f>
        <v>2</v>
      </c>
      <c r="G318" s="71" t="n">
        <f aca="false">E318*F318</f>
        <v>2.4</v>
      </c>
      <c r="H318" s="59"/>
      <c r="I318" s="72" t="str">
        <f aca="false">IF(H318="","",H318-G318)</f>
        <v/>
      </c>
      <c r="J318" s="33"/>
    </row>
    <row r="319" customFormat="false" ht="18" hidden="false" customHeight="true" outlineLevel="0" collapsed="false">
      <c r="A319" s="57" t="n">
        <v>315</v>
      </c>
      <c r="B319" s="73" t="n">
        <f aca="false">B317</f>
        <v>0</v>
      </c>
      <c r="C319" s="6" t="s">
        <v>334</v>
      </c>
      <c r="D319" s="8" t="s">
        <v>335</v>
      </c>
      <c r="E319" s="71" t="n">
        <f aca="false">'Norms &amp; Assumptions'!B45</f>
        <v>0.5</v>
      </c>
      <c r="F319" s="63" t="n">
        <f aca="false">IF(B317="",2,IF(B317&gt;=DATE(2026,4,8),4,2))</f>
        <v>2</v>
      </c>
      <c r="G319" s="71" t="n">
        <f aca="false">E319*F319</f>
        <v>1</v>
      </c>
      <c r="H319" s="59"/>
      <c r="I319" s="72" t="str">
        <f aca="false">IF(H319="","",H319-G319)</f>
        <v/>
      </c>
      <c r="J319" s="33"/>
    </row>
    <row r="320" customFormat="false" ht="18" hidden="false" customHeight="true" outlineLevel="0" collapsed="false">
      <c r="A320" s="57" t="n">
        <v>316</v>
      </c>
      <c r="B320" s="73" t="n">
        <f aca="false">B317</f>
        <v>0</v>
      </c>
      <c r="C320" s="6" t="s">
        <v>336</v>
      </c>
      <c r="D320" s="8" t="s">
        <v>337</v>
      </c>
      <c r="E320" s="71" t="n">
        <f aca="false">'Norms &amp; Assumptions'!B46</f>
        <v>0.05</v>
      </c>
      <c r="F320" s="63" t="n">
        <f aca="false">IF(B317="",2,IF(B317&gt;=DATE(2026,4,8),4,2))</f>
        <v>2</v>
      </c>
      <c r="G320" s="71" t="n">
        <f aca="false">E320*F320</f>
        <v>0.1</v>
      </c>
      <c r="H320" s="59"/>
      <c r="I320" s="72" t="str">
        <f aca="false">IF(H320="","",H320-G320)</f>
        <v/>
      </c>
      <c r="J320" s="33"/>
    </row>
    <row r="321" customFormat="false" ht="18" hidden="false" customHeight="true" outlineLevel="0" collapsed="false">
      <c r="A321" s="57" t="n">
        <v>317</v>
      </c>
      <c r="B321" s="73" t="n">
        <f aca="false">B317</f>
        <v>0</v>
      </c>
      <c r="C321" s="6" t="s">
        <v>338</v>
      </c>
      <c r="D321" s="8" t="s">
        <v>339</v>
      </c>
      <c r="E321" s="71" t="n">
        <f aca="false">'Norms &amp; Assumptions'!B47</f>
        <v>0.2</v>
      </c>
      <c r="F321" s="63" t="n">
        <f aca="false">IF(B317="",2,IF(B317&gt;=DATE(2026,4,8),4,2))</f>
        <v>2</v>
      </c>
      <c r="G321" s="71" t="n">
        <f aca="false">E321*F321</f>
        <v>0.4</v>
      </c>
      <c r="H321" s="59"/>
      <c r="I321" s="72" t="str">
        <f aca="false">IF(H321="","",H321-G321)</f>
        <v/>
      </c>
      <c r="J321" s="33"/>
    </row>
    <row r="322" customFormat="false" ht="18" hidden="false" customHeight="true" outlineLevel="0" collapsed="false">
      <c r="A322" s="57" t="n">
        <v>318</v>
      </c>
      <c r="B322" s="73" t="n">
        <f aca="false">B317</f>
        <v>0</v>
      </c>
      <c r="C322" s="6" t="s">
        <v>340</v>
      </c>
      <c r="D322" s="8" t="s">
        <v>341</v>
      </c>
      <c r="E322" s="71" t="n">
        <f aca="false">'Norms &amp; Assumptions'!B48</f>
        <v>0.2</v>
      </c>
      <c r="F322" s="63" t="n">
        <f aca="false">IF(B317="",2,IF(B317&gt;=DATE(2026,4,8),4,2))</f>
        <v>2</v>
      </c>
      <c r="G322" s="71" t="n">
        <f aca="false">E322*F322</f>
        <v>0.4</v>
      </c>
      <c r="H322" s="59"/>
      <c r="I322" s="72" t="str">
        <f aca="false">IF(H322="","",H322-G322)</f>
        <v/>
      </c>
      <c r="J322" s="33"/>
    </row>
    <row r="323" customFormat="false" ht="18" hidden="false" customHeight="true" outlineLevel="0" collapsed="false">
      <c r="A323" s="57" t="n">
        <v>319</v>
      </c>
      <c r="B323" s="73" t="n">
        <f aca="false">B317</f>
        <v>0</v>
      </c>
      <c r="C323" s="6" t="s">
        <v>342</v>
      </c>
      <c r="D323" s="8" t="s">
        <v>343</v>
      </c>
      <c r="E323" s="71" t="n">
        <f aca="false">'Norms &amp; Assumptions'!B49</f>
        <v>0.05</v>
      </c>
      <c r="F323" s="63" t="n">
        <f aca="false">IF(B317="",2,IF(B317&gt;=DATE(2026,4,8),4,2))</f>
        <v>2</v>
      </c>
      <c r="G323" s="71" t="n">
        <f aca="false">E323*F323</f>
        <v>0.1</v>
      </c>
      <c r="H323" s="59"/>
      <c r="I323" s="72" t="str">
        <f aca="false">IF(H323="","",H323-G323)</f>
        <v/>
      </c>
      <c r="J323" s="33"/>
    </row>
    <row r="324" customFormat="false" ht="18" hidden="false" customHeight="true" outlineLevel="0" collapsed="false">
      <c r="A324" s="57" t="n">
        <v>320</v>
      </c>
      <c r="B324" s="73" t="n">
        <f aca="false">B317</f>
        <v>0</v>
      </c>
      <c r="C324" s="6" t="s">
        <v>98</v>
      </c>
      <c r="D324" s="8" t="s">
        <v>344</v>
      </c>
      <c r="E324" s="71" t="n">
        <f aca="false">'Norms &amp; Assumptions'!B50</f>
        <v>0.033</v>
      </c>
      <c r="F324" s="63" t="n">
        <f aca="false">IF(B317="",2,IF(B317&gt;=DATE(2026,4,8),4,2))</f>
        <v>2</v>
      </c>
      <c r="G324" s="71" t="n">
        <f aca="false">E324*F324</f>
        <v>0.066</v>
      </c>
      <c r="H324" s="59"/>
      <c r="I324" s="72" t="str">
        <f aca="false">IF(H324="","",H324-G324)</f>
        <v/>
      </c>
      <c r="J324" s="33"/>
    </row>
    <row r="325" customFormat="false" ht="18" hidden="false" customHeight="true" outlineLevel="0" collapsed="false">
      <c r="A325" s="57" t="n">
        <v>321</v>
      </c>
      <c r="B325" s="64"/>
      <c r="C325" s="6" t="s">
        <v>332</v>
      </c>
      <c r="D325" s="8" t="s">
        <v>333</v>
      </c>
      <c r="E325" s="71" t="n">
        <f aca="false">'Norms &amp; Assumptions'!B43</f>
        <v>2.5</v>
      </c>
      <c r="F325" s="63" t="n">
        <f aca="false">IF(B325="",2,IF(B325&gt;=DATE(2026,4,8),4,2))</f>
        <v>2</v>
      </c>
      <c r="G325" s="71" t="n">
        <f aca="false">E325*F325</f>
        <v>5</v>
      </c>
      <c r="H325" s="59"/>
      <c r="I325" s="72" t="str">
        <f aca="false">IF(H325="","",H325-G325)</f>
        <v/>
      </c>
      <c r="J325" s="33"/>
    </row>
    <row r="326" customFormat="false" ht="18" hidden="false" customHeight="true" outlineLevel="0" collapsed="false">
      <c r="A326" s="57" t="n">
        <v>322</v>
      </c>
      <c r="B326" s="73" t="n">
        <f aca="false">B325</f>
        <v>0</v>
      </c>
      <c r="C326" s="6" t="s">
        <v>81</v>
      </c>
      <c r="D326" s="8" t="s">
        <v>333</v>
      </c>
      <c r="E326" s="71" t="n">
        <f aca="false">'Norms &amp; Assumptions'!B44</f>
        <v>1.2</v>
      </c>
      <c r="F326" s="63" t="n">
        <f aca="false">IF(B325="",2,IF(B325&gt;=DATE(2026,4,8),4,2))</f>
        <v>2</v>
      </c>
      <c r="G326" s="71" t="n">
        <f aca="false">E326*F326</f>
        <v>2.4</v>
      </c>
      <c r="H326" s="59"/>
      <c r="I326" s="72" t="str">
        <f aca="false">IF(H326="","",H326-G326)</f>
        <v/>
      </c>
      <c r="J326" s="33"/>
    </row>
    <row r="327" customFormat="false" ht="18" hidden="false" customHeight="true" outlineLevel="0" collapsed="false">
      <c r="A327" s="57" t="n">
        <v>323</v>
      </c>
      <c r="B327" s="73" t="n">
        <f aca="false">B325</f>
        <v>0</v>
      </c>
      <c r="C327" s="6" t="s">
        <v>334</v>
      </c>
      <c r="D327" s="8" t="s">
        <v>335</v>
      </c>
      <c r="E327" s="71" t="n">
        <f aca="false">'Norms &amp; Assumptions'!B45</f>
        <v>0.5</v>
      </c>
      <c r="F327" s="63" t="n">
        <f aca="false">IF(B325="",2,IF(B325&gt;=DATE(2026,4,8),4,2))</f>
        <v>2</v>
      </c>
      <c r="G327" s="71" t="n">
        <f aca="false">E327*F327</f>
        <v>1</v>
      </c>
      <c r="H327" s="59"/>
      <c r="I327" s="72" t="str">
        <f aca="false">IF(H327="","",H327-G327)</f>
        <v/>
      </c>
      <c r="J327" s="33"/>
    </row>
    <row r="328" customFormat="false" ht="18" hidden="false" customHeight="true" outlineLevel="0" collapsed="false">
      <c r="A328" s="57" t="n">
        <v>324</v>
      </c>
      <c r="B328" s="73" t="n">
        <f aca="false">B325</f>
        <v>0</v>
      </c>
      <c r="C328" s="6" t="s">
        <v>336</v>
      </c>
      <c r="D328" s="8" t="s">
        <v>337</v>
      </c>
      <c r="E328" s="71" t="n">
        <f aca="false">'Norms &amp; Assumptions'!B46</f>
        <v>0.05</v>
      </c>
      <c r="F328" s="63" t="n">
        <f aca="false">IF(B325="",2,IF(B325&gt;=DATE(2026,4,8),4,2))</f>
        <v>2</v>
      </c>
      <c r="G328" s="71" t="n">
        <f aca="false">E328*F328</f>
        <v>0.1</v>
      </c>
      <c r="H328" s="59"/>
      <c r="I328" s="72" t="str">
        <f aca="false">IF(H328="","",H328-G328)</f>
        <v/>
      </c>
      <c r="J328" s="33"/>
    </row>
    <row r="329" customFormat="false" ht="18" hidden="false" customHeight="true" outlineLevel="0" collapsed="false">
      <c r="A329" s="57" t="n">
        <v>325</v>
      </c>
      <c r="B329" s="73" t="n">
        <f aca="false">B325</f>
        <v>0</v>
      </c>
      <c r="C329" s="6" t="s">
        <v>338</v>
      </c>
      <c r="D329" s="8" t="s">
        <v>339</v>
      </c>
      <c r="E329" s="71" t="n">
        <f aca="false">'Norms &amp; Assumptions'!B47</f>
        <v>0.2</v>
      </c>
      <c r="F329" s="63" t="n">
        <f aca="false">IF(B325="",2,IF(B325&gt;=DATE(2026,4,8),4,2))</f>
        <v>2</v>
      </c>
      <c r="G329" s="71" t="n">
        <f aca="false">E329*F329</f>
        <v>0.4</v>
      </c>
      <c r="H329" s="59"/>
      <c r="I329" s="72" t="str">
        <f aca="false">IF(H329="","",H329-G329)</f>
        <v/>
      </c>
      <c r="J329" s="33"/>
    </row>
    <row r="330" customFormat="false" ht="18" hidden="false" customHeight="true" outlineLevel="0" collapsed="false">
      <c r="A330" s="57" t="n">
        <v>326</v>
      </c>
      <c r="B330" s="73" t="n">
        <f aca="false">B325</f>
        <v>0</v>
      </c>
      <c r="C330" s="6" t="s">
        <v>340</v>
      </c>
      <c r="D330" s="8" t="s">
        <v>341</v>
      </c>
      <c r="E330" s="71" t="n">
        <f aca="false">'Norms &amp; Assumptions'!B48</f>
        <v>0.2</v>
      </c>
      <c r="F330" s="63" t="n">
        <f aca="false">IF(B325="",2,IF(B325&gt;=DATE(2026,4,8),4,2))</f>
        <v>2</v>
      </c>
      <c r="G330" s="71" t="n">
        <f aca="false">E330*F330</f>
        <v>0.4</v>
      </c>
      <c r="H330" s="59"/>
      <c r="I330" s="72" t="str">
        <f aca="false">IF(H330="","",H330-G330)</f>
        <v/>
      </c>
      <c r="J330" s="33"/>
    </row>
    <row r="331" customFormat="false" ht="18" hidden="false" customHeight="true" outlineLevel="0" collapsed="false">
      <c r="A331" s="57" t="n">
        <v>327</v>
      </c>
      <c r="B331" s="73" t="n">
        <f aca="false">B325</f>
        <v>0</v>
      </c>
      <c r="C331" s="6" t="s">
        <v>342</v>
      </c>
      <c r="D331" s="8" t="s">
        <v>343</v>
      </c>
      <c r="E331" s="71" t="n">
        <f aca="false">'Norms &amp; Assumptions'!B49</f>
        <v>0.05</v>
      </c>
      <c r="F331" s="63" t="n">
        <f aca="false">IF(B325="",2,IF(B325&gt;=DATE(2026,4,8),4,2))</f>
        <v>2</v>
      </c>
      <c r="G331" s="71" t="n">
        <f aca="false">E331*F331</f>
        <v>0.1</v>
      </c>
      <c r="H331" s="59"/>
      <c r="I331" s="72" t="str">
        <f aca="false">IF(H331="","",H331-G331)</f>
        <v/>
      </c>
      <c r="J331" s="33"/>
    </row>
    <row r="332" customFormat="false" ht="18" hidden="false" customHeight="true" outlineLevel="0" collapsed="false">
      <c r="A332" s="57" t="n">
        <v>328</v>
      </c>
      <c r="B332" s="73" t="n">
        <f aca="false">B325</f>
        <v>0</v>
      </c>
      <c r="C332" s="6" t="s">
        <v>98</v>
      </c>
      <c r="D332" s="8" t="s">
        <v>344</v>
      </c>
      <c r="E332" s="71" t="n">
        <f aca="false">'Norms &amp; Assumptions'!B50</f>
        <v>0.033</v>
      </c>
      <c r="F332" s="63" t="n">
        <f aca="false">IF(B325="",2,IF(B325&gt;=DATE(2026,4,8),4,2))</f>
        <v>2</v>
      </c>
      <c r="G332" s="71" t="n">
        <f aca="false">E332*F332</f>
        <v>0.066</v>
      </c>
      <c r="H332" s="59"/>
      <c r="I332" s="72" t="str">
        <f aca="false">IF(H332="","",H332-G332)</f>
        <v/>
      </c>
      <c r="J332" s="33"/>
    </row>
    <row r="333" customFormat="false" ht="18" hidden="false" customHeight="true" outlineLevel="0" collapsed="false">
      <c r="A333" s="57" t="n">
        <v>329</v>
      </c>
      <c r="B333" s="64"/>
      <c r="C333" s="6" t="s">
        <v>332</v>
      </c>
      <c r="D333" s="8" t="s">
        <v>333</v>
      </c>
      <c r="E333" s="71" t="n">
        <f aca="false">'Norms &amp; Assumptions'!B43</f>
        <v>2.5</v>
      </c>
      <c r="F333" s="63" t="n">
        <f aca="false">IF(B333="",2,IF(B333&gt;=DATE(2026,4,8),4,2))</f>
        <v>2</v>
      </c>
      <c r="G333" s="71" t="n">
        <f aca="false">E333*F333</f>
        <v>5</v>
      </c>
      <c r="H333" s="59"/>
      <c r="I333" s="72" t="str">
        <f aca="false">IF(H333="","",H333-G333)</f>
        <v/>
      </c>
      <c r="J333" s="33"/>
    </row>
    <row r="334" customFormat="false" ht="18" hidden="false" customHeight="true" outlineLevel="0" collapsed="false">
      <c r="A334" s="57" t="n">
        <v>330</v>
      </c>
      <c r="B334" s="73" t="n">
        <f aca="false">B333</f>
        <v>0</v>
      </c>
      <c r="C334" s="6" t="s">
        <v>81</v>
      </c>
      <c r="D334" s="8" t="s">
        <v>333</v>
      </c>
      <c r="E334" s="71" t="n">
        <f aca="false">'Norms &amp; Assumptions'!B44</f>
        <v>1.2</v>
      </c>
      <c r="F334" s="63" t="n">
        <f aca="false">IF(B333="",2,IF(B333&gt;=DATE(2026,4,8),4,2))</f>
        <v>2</v>
      </c>
      <c r="G334" s="71" t="n">
        <f aca="false">E334*F334</f>
        <v>2.4</v>
      </c>
      <c r="H334" s="59"/>
      <c r="I334" s="72" t="str">
        <f aca="false">IF(H334="","",H334-G334)</f>
        <v/>
      </c>
      <c r="J334" s="33"/>
    </row>
    <row r="335" customFormat="false" ht="18" hidden="false" customHeight="true" outlineLevel="0" collapsed="false">
      <c r="A335" s="57" t="n">
        <v>331</v>
      </c>
      <c r="B335" s="73" t="n">
        <f aca="false">B333</f>
        <v>0</v>
      </c>
      <c r="C335" s="6" t="s">
        <v>334</v>
      </c>
      <c r="D335" s="8" t="s">
        <v>335</v>
      </c>
      <c r="E335" s="71" t="n">
        <f aca="false">'Norms &amp; Assumptions'!B45</f>
        <v>0.5</v>
      </c>
      <c r="F335" s="63" t="n">
        <f aca="false">IF(B333="",2,IF(B333&gt;=DATE(2026,4,8),4,2))</f>
        <v>2</v>
      </c>
      <c r="G335" s="71" t="n">
        <f aca="false">E335*F335</f>
        <v>1</v>
      </c>
      <c r="H335" s="59"/>
      <c r="I335" s="72" t="str">
        <f aca="false">IF(H335="","",H335-G335)</f>
        <v/>
      </c>
      <c r="J335" s="33"/>
    </row>
    <row r="336" customFormat="false" ht="18" hidden="false" customHeight="true" outlineLevel="0" collapsed="false">
      <c r="A336" s="57" t="n">
        <v>332</v>
      </c>
      <c r="B336" s="73" t="n">
        <f aca="false">B333</f>
        <v>0</v>
      </c>
      <c r="C336" s="6" t="s">
        <v>336</v>
      </c>
      <c r="D336" s="8" t="s">
        <v>337</v>
      </c>
      <c r="E336" s="71" t="n">
        <f aca="false">'Norms &amp; Assumptions'!B46</f>
        <v>0.05</v>
      </c>
      <c r="F336" s="63" t="n">
        <f aca="false">IF(B333="",2,IF(B333&gt;=DATE(2026,4,8),4,2))</f>
        <v>2</v>
      </c>
      <c r="G336" s="71" t="n">
        <f aca="false">E336*F336</f>
        <v>0.1</v>
      </c>
      <c r="H336" s="59"/>
      <c r="I336" s="72" t="str">
        <f aca="false">IF(H336="","",H336-G336)</f>
        <v/>
      </c>
      <c r="J336" s="33"/>
    </row>
    <row r="337" customFormat="false" ht="18" hidden="false" customHeight="true" outlineLevel="0" collapsed="false">
      <c r="A337" s="57" t="n">
        <v>333</v>
      </c>
      <c r="B337" s="73" t="n">
        <f aca="false">B333</f>
        <v>0</v>
      </c>
      <c r="C337" s="6" t="s">
        <v>338</v>
      </c>
      <c r="D337" s="8" t="s">
        <v>339</v>
      </c>
      <c r="E337" s="71" t="n">
        <f aca="false">'Norms &amp; Assumptions'!B47</f>
        <v>0.2</v>
      </c>
      <c r="F337" s="63" t="n">
        <f aca="false">IF(B333="",2,IF(B333&gt;=DATE(2026,4,8),4,2))</f>
        <v>2</v>
      </c>
      <c r="G337" s="71" t="n">
        <f aca="false">E337*F337</f>
        <v>0.4</v>
      </c>
      <c r="H337" s="59"/>
      <c r="I337" s="72" t="str">
        <f aca="false">IF(H337="","",H337-G337)</f>
        <v/>
      </c>
      <c r="J337" s="33"/>
    </row>
    <row r="338" customFormat="false" ht="18" hidden="false" customHeight="true" outlineLevel="0" collapsed="false">
      <c r="A338" s="57" t="n">
        <v>334</v>
      </c>
      <c r="B338" s="73" t="n">
        <f aca="false">B333</f>
        <v>0</v>
      </c>
      <c r="C338" s="6" t="s">
        <v>340</v>
      </c>
      <c r="D338" s="8" t="s">
        <v>341</v>
      </c>
      <c r="E338" s="71" t="n">
        <f aca="false">'Norms &amp; Assumptions'!B48</f>
        <v>0.2</v>
      </c>
      <c r="F338" s="63" t="n">
        <f aca="false">IF(B333="",2,IF(B333&gt;=DATE(2026,4,8),4,2))</f>
        <v>2</v>
      </c>
      <c r="G338" s="71" t="n">
        <f aca="false">E338*F338</f>
        <v>0.4</v>
      </c>
      <c r="H338" s="59"/>
      <c r="I338" s="72" t="str">
        <f aca="false">IF(H338="","",H338-G338)</f>
        <v/>
      </c>
      <c r="J338" s="33"/>
    </row>
    <row r="339" customFormat="false" ht="18" hidden="false" customHeight="true" outlineLevel="0" collapsed="false">
      <c r="A339" s="57" t="n">
        <v>335</v>
      </c>
      <c r="B339" s="73" t="n">
        <f aca="false">B333</f>
        <v>0</v>
      </c>
      <c r="C339" s="6" t="s">
        <v>342</v>
      </c>
      <c r="D339" s="8" t="s">
        <v>343</v>
      </c>
      <c r="E339" s="71" t="n">
        <f aca="false">'Norms &amp; Assumptions'!B49</f>
        <v>0.05</v>
      </c>
      <c r="F339" s="63" t="n">
        <f aca="false">IF(B333="",2,IF(B333&gt;=DATE(2026,4,8),4,2))</f>
        <v>2</v>
      </c>
      <c r="G339" s="71" t="n">
        <f aca="false">E339*F339</f>
        <v>0.1</v>
      </c>
      <c r="H339" s="59"/>
      <c r="I339" s="72" t="str">
        <f aca="false">IF(H339="","",H339-G339)</f>
        <v/>
      </c>
      <c r="J339" s="33"/>
    </row>
    <row r="340" customFormat="false" ht="18" hidden="false" customHeight="true" outlineLevel="0" collapsed="false">
      <c r="A340" s="57" t="n">
        <v>336</v>
      </c>
      <c r="B340" s="73" t="n">
        <f aca="false">B333</f>
        <v>0</v>
      </c>
      <c r="C340" s="6" t="s">
        <v>98</v>
      </c>
      <c r="D340" s="8" t="s">
        <v>344</v>
      </c>
      <c r="E340" s="71" t="n">
        <f aca="false">'Norms &amp; Assumptions'!B50</f>
        <v>0.033</v>
      </c>
      <c r="F340" s="63" t="n">
        <f aca="false">IF(B333="",2,IF(B333&gt;=DATE(2026,4,8),4,2))</f>
        <v>2</v>
      </c>
      <c r="G340" s="71" t="n">
        <f aca="false">E340*F340</f>
        <v>0.066</v>
      </c>
      <c r="H340" s="59"/>
      <c r="I340" s="72" t="str">
        <f aca="false">IF(H340="","",H340-G340)</f>
        <v/>
      </c>
      <c r="J340" s="33"/>
    </row>
    <row r="341" customFormat="false" ht="18" hidden="false" customHeight="true" outlineLevel="0" collapsed="false">
      <c r="A341" s="57" t="n">
        <v>337</v>
      </c>
      <c r="B341" s="64"/>
      <c r="C341" s="6" t="s">
        <v>332</v>
      </c>
      <c r="D341" s="8" t="s">
        <v>333</v>
      </c>
      <c r="E341" s="71" t="n">
        <f aca="false">'Norms &amp; Assumptions'!B43</f>
        <v>2.5</v>
      </c>
      <c r="F341" s="63" t="n">
        <f aca="false">IF(B341="",2,IF(B341&gt;=DATE(2026,4,8),4,2))</f>
        <v>2</v>
      </c>
      <c r="G341" s="71" t="n">
        <f aca="false">E341*F341</f>
        <v>5</v>
      </c>
      <c r="H341" s="59"/>
      <c r="I341" s="72" t="str">
        <f aca="false">IF(H341="","",H341-G341)</f>
        <v/>
      </c>
      <c r="J341" s="33"/>
    </row>
    <row r="342" customFormat="false" ht="18" hidden="false" customHeight="true" outlineLevel="0" collapsed="false">
      <c r="A342" s="57" t="n">
        <v>338</v>
      </c>
      <c r="B342" s="73" t="n">
        <f aca="false">B341</f>
        <v>0</v>
      </c>
      <c r="C342" s="6" t="s">
        <v>81</v>
      </c>
      <c r="D342" s="8" t="s">
        <v>333</v>
      </c>
      <c r="E342" s="71" t="n">
        <f aca="false">'Norms &amp; Assumptions'!B44</f>
        <v>1.2</v>
      </c>
      <c r="F342" s="63" t="n">
        <f aca="false">IF(B341="",2,IF(B341&gt;=DATE(2026,4,8),4,2))</f>
        <v>2</v>
      </c>
      <c r="G342" s="71" t="n">
        <f aca="false">E342*F342</f>
        <v>2.4</v>
      </c>
      <c r="H342" s="59"/>
      <c r="I342" s="72" t="str">
        <f aca="false">IF(H342="","",H342-G342)</f>
        <v/>
      </c>
      <c r="J342" s="33"/>
    </row>
    <row r="343" customFormat="false" ht="18" hidden="false" customHeight="true" outlineLevel="0" collapsed="false">
      <c r="A343" s="57" t="n">
        <v>339</v>
      </c>
      <c r="B343" s="73" t="n">
        <f aca="false">B341</f>
        <v>0</v>
      </c>
      <c r="C343" s="6" t="s">
        <v>334</v>
      </c>
      <c r="D343" s="8" t="s">
        <v>335</v>
      </c>
      <c r="E343" s="71" t="n">
        <f aca="false">'Norms &amp; Assumptions'!B45</f>
        <v>0.5</v>
      </c>
      <c r="F343" s="63" t="n">
        <f aca="false">IF(B341="",2,IF(B341&gt;=DATE(2026,4,8),4,2))</f>
        <v>2</v>
      </c>
      <c r="G343" s="71" t="n">
        <f aca="false">E343*F343</f>
        <v>1</v>
      </c>
      <c r="H343" s="59"/>
      <c r="I343" s="72" t="str">
        <f aca="false">IF(H343="","",H343-G343)</f>
        <v/>
      </c>
      <c r="J343" s="33"/>
    </row>
    <row r="344" customFormat="false" ht="18" hidden="false" customHeight="true" outlineLevel="0" collapsed="false">
      <c r="A344" s="57" t="n">
        <v>340</v>
      </c>
      <c r="B344" s="73" t="n">
        <f aca="false">B341</f>
        <v>0</v>
      </c>
      <c r="C344" s="6" t="s">
        <v>336</v>
      </c>
      <c r="D344" s="8" t="s">
        <v>337</v>
      </c>
      <c r="E344" s="71" t="n">
        <f aca="false">'Norms &amp; Assumptions'!B46</f>
        <v>0.05</v>
      </c>
      <c r="F344" s="63" t="n">
        <f aca="false">IF(B341="",2,IF(B341&gt;=DATE(2026,4,8),4,2))</f>
        <v>2</v>
      </c>
      <c r="G344" s="71" t="n">
        <f aca="false">E344*F344</f>
        <v>0.1</v>
      </c>
      <c r="H344" s="59"/>
      <c r="I344" s="72" t="str">
        <f aca="false">IF(H344="","",H344-G344)</f>
        <v/>
      </c>
      <c r="J344" s="33"/>
    </row>
    <row r="345" customFormat="false" ht="18" hidden="false" customHeight="true" outlineLevel="0" collapsed="false">
      <c r="A345" s="57" t="n">
        <v>341</v>
      </c>
      <c r="B345" s="73" t="n">
        <f aca="false">B341</f>
        <v>0</v>
      </c>
      <c r="C345" s="6" t="s">
        <v>338</v>
      </c>
      <c r="D345" s="8" t="s">
        <v>339</v>
      </c>
      <c r="E345" s="71" t="n">
        <f aca="false">'Norms &amp; Assumptions'!B47</f>
        <v>0.2</v>
      </c>
      <c r="F345" s="63" t="n">
        <f aca="false">IF(B341="",2,IF(B341&gt;=DATE(2026,4,8),4,2))</f>
        <v>2</v>
      </c>
      <c r="G345" s="71" t="n">
        <f aca="false">E345*F345</f>
        <v>0.4</v>
      </c>
      <c r="H345" s="59"/>
      <c r="I345" s="72" t="str">
        <f aca="false">IF(H345="","",H345-G345)</f>
        <v/>
      </c>
      <c r="J345" s="33"/>
    </row>
    <row r="346" customFormat="false" ht="18" hidden="false" customHeight="true" outlineLevel="0" collapsed="false">
      <c r="A346" s="57" t="n">
        <v>342</v>
      </c>
      <c r="B346" s="73" t="n">
        <f aca="false">B341</f>
        <v>0</v>
      </c>
      <c r="C346" s="6" t="s">
        <v>340</v>
      </c>
      <c r="D346" s="8" t="s">
        <v>341</v>
      </c>
      <c r="E346" s="71" t="n">
        <f aca="false">'Norms &amp; Assumptions'!B48</f>
        <v>0.2</v>
      </c>
      <c r="F346" s="63" t="n">
        <f aca="false">IF(B341="",2,IF(B341&gt;=DATE(2026,4,8),4,2))</f>
        <v>2</v>
      </c>
      <c r="G346" s="71" t="n">
        <f aca="false">E346*F346</f>
        <v>0.4</v>
      </c>
      <c r="H346" s="59"/>
      <c r="I346" s="72" t="str">
        <f aca="false">IF(H346="","",H346-G346)</f>
        <v/>
      </c>
      <c r="J346" s="33"/>
    </row>
    <row r="347" customFormat="false" ht="18" hidden="false" customHeight="true" outlineLevel="0" collapsed="false">
      <c r="A347" s="57" t="n">
        <v>343</v>
      </c>
      <c r="B347" s="73" t="n">
        <f aca="false">B341</f>
        <v>0</v>
      </c>
      <c r="C347" s="6" t="s">
        <v>342</v>
      </c>
      <c r="D347" s="8" t="s">
        <v>343</v>
      </c>
      <c r="E347" s="71" t="n">
        <f aca="false">'Norms &amp; Assumptions'!B49</f>
        <v>0.05</v>
      </c>
      <c r="F347" s="63" t="n">
        <f aca="false">IF(B341="",2,IF(B341&gt;=DATE(2026,4,8),4,2))</f>
        <v>2</v>
      </c>
      <c r="G347" s="71" t="n">
        <f aca="false">E347*F347</f>
        <v>0.1</v>
      </c>
      <c r="H347" s="59"/>
      <c r="I347" s="72" t="str">
        <f aca="false">IF(H347="","",H347-G347)</f>
        <v/>
      </c>
      <c r="J347" s="33"/>
    </row>
    <row r="348" customFormat="false" ht="18" hidden="false" customHeight="true" outlineLevel="0" collapsed="false">
      <c r="A348" s="57" t="n">
        <v>344</v>
      </c>
      <c r="B348" s="73" t="n">
        <f aca="false">B341</f>
        <v>0</v>
      </c>
      <c r="C348" s="6" t="s">
        <v>98</v>
      </c>
      <c r="D348" s="8" t="s">
        <v>344</v>
      </c>
      <c r="E348" s="71" t="n">
        <f aca="false">'Norms &amp; Assumptions'!B50</f>
        <v>0.033</v>
      </c>
      <c r="F348" s="63" t="n">
        <f aca="false">IF(B341="",2,IF(B341&gt;=DATE(2026,4,8),4,2))</f>
        <v>2</v>
      </c>
      <c r="G348" s="71" t="n">
        <f aca="false">E348*F348</f>
        <v>0.066</v>
      </c>
      <c r="H348" s="59"/>
      <c r="I348" s="72" t="str">
        <f aca="false">IF(H348="","",H348-G348)</f>
        <v/>
      </c>
      <c r="J348" s="33"/>
    </row>
    <row r="349" customFormat="false" ht="18" hidden="false" customHeight="true" outlineLevel="0" collapsed="false">
      <c r="A349" s="57" t="n">
        <v>345</v>
      </c>
      <c r="B349" s="64"/>
      <c r="C349" s="6" t="s">
        <v>332</v>
      </c>
      <c r="D349" s="8" t="s">
        <v>333</v>
      </c>
      <c r="E349" s="71" t="n">
        <f aca="false">'Norms &amp; Assumptions'!B43</f>
        <v>2.5</v>
      </c>
      <c r="F349" s="63" t="n">
        <f aca="false">IF(B349="",2,IF(B349&gt;=DATE(2026,4,8),4,2))</f>
        <v>2</v>
      </c>
      <c r="G349" s="71" t="n">
        <f aca="false">E349*F349</f>
        <v>5</v>
      </c>
      <c r="H349" s="59"/>
      <c r="I349" s="72" t="str">
        <f aca="false">IF(H349="","",H349-G349)</f>
        <v/>
      </c>
      <c r="J349" s="33"/>
    </row>
    <row r="350" customFormat="false" ht="18" hidden="false" customHeight="true" outlineLevel="0" collapsed="false">
      <c r="A350" s="57" t="n">
        <v>346</v>
      </c>
      <c r="B350" s="73" t="n">
        <f aca="false">B349</f>
        <v>0</v>
      </c>
      <c r="C350" s="6" t="s">
        <v>81</v>
      </c>
      <c r="D350" s="8" t="s">
        <v>333</v>
      </c>
      <c r="E350" s="71" t="n">
        <f aca="false">'Norms &amp; Assumptions'!B44</f>
        <v>1.2</v>
      </c>
      <c r="F350" s="63" t="n">
        <f aca="false">IF(B349="",2,IF(B349&gt;=DATE(2026,4,8),4,2))</f>
        <v>2</v>
      </c>
      <c r="G350" s="71" t="n">
        <f aca="false">E350*F350</f>
        <v>2.4</v>
      </c>
      <c r="H350" s="59"/>
      <c r="I350" s="72" t="str">
        <f aca="false">IF(H350="","",H350-G350)</f>
        <v/>
      </c>
      <c r="J350" s="33"/>
    </row>
    <row r="351" customFormat="false" ht="18" hidden="false" customHeight="true" outlineLevel="0" collapsed="false">
      <c r="A351" s="57" t="n">
        <v>347</v>
      </c>
      <c r="B351" s="73" t="n">
        <f aca="false">B349</f>
        <v>0</v>
      </c>
      <c r="C351" s="6" t="s">
        <v>334</v>
      </c>
      <c r="D351" s="8" t="s">
        <v>335</v>
      </c>
      <c r="E351" s="71" t="n">
        <f aca="false">'Norms &amp; Assumptions'!B45</f>
        <v>0.5</v>
      </c>
      <c r="F351" s="63" t="n">
        <f aca="false">IF(B349="",2,IF(B349&gt;=DATE(2026,4,8),4,2))</f>
        <v>2</v>
      </c>
      <c r="G351" s="71" t="n">
        <f aca="false">E351*F351</f>
        <v>1</v>
      </c>
      <c r="H351" s="59"/>
      <c r="I351" s="72" t="str">
        <f aca="false">IF(H351="","",H351-G351)</f>
        <v/>
      </c>
      <c r="J351" s="33"/>
    </row>
    <row r="352" customFormat="false" ht="18" hidden="false" customHeight="true" outlineLevel="0" collapsed="false">
      <c r="A352" s="57" t="n">
        <v>348</v>
      </c>
      <c r="B352" s="73" t="n">
        <f aca="false">B349</f>
        <v>0</v>
      </c>
      <c r="C352" s="6" t="s">
        <v>336</v>
      </c>
      <c r="D352" s="8" t="s">
        <v>337</v>
      </c>
      <c r="E352" s="71" t="n">
        <f aca="false">'Norms &amp; Assumptions'!B46</f>
        <v>0.05</v>
      </c>
      <c r="F352" s="63" t="n">
        <f aca="false">IF(B349="",2,IF(B349&gt;=DATE(2026,4,8),4,2))</f>
        <v>2</v>
      </c>
      <c r="G352" s="71" t="n">
        <f aca="false">E352*F352</f>
        <v>0.1</v>
      </c>
      <c r="H352" s="59"/>
      <c r="I352" s="72" t="str">
        <f aca="false">IF(H352="","",H352-G352)</f>
        <v/>
      </c>
      <c r="J352" s="33"/>
    </row>
    <row r="353" customFormat="false" ht="18" hidden="false" customHeight="true" outlineLevel="0" collapsed="false">
      <c r="A353" s="57" t="n">
        <v>349</v>
      </c>
      <c r="B353" s="73" t="n">
        <f aca="false">B349</f>
        <v>0</v>
      </c>
      <c r="C353" s="6" t="s">
        <v>338</v>
      </c>
      <c r="D353" s="8" t="s">
        <v>339</v>
      </c>
      <c r="E353" s="71" t="n">
        <f aca="false">'Norms &amp; Assumptions'!B47</f>
        <v>0.2</v>
      </c>
      <c r="F353" s="63" t="n">
        <f aca="false">IF(B349="",2,IF(B349&gt;=DATE(2026,4,8),4,2))</f>
        <v>2</v>
      </c>
      <c r="G353" s="71" t="n">
        <f aca="false">E353*F353</f>
        <v>0.4</v>
      </c>
      <c r="H353" s="59"/>
      <c r="I353" s="72" t="str">
        <f aca="false">IF(H353="","",H353-G353)</f>
        <v/>
      </c>
      <c r="J353" s="33"/>
    </row>
    <row r="354" customFormat="false" ht="18" hidden="false" customHeight="true" outlineLevel="0" collapsed="false">
      <c r="A354" s="57" t="n">
        <v>350</v>
      </c>
      <c r="B354" s="73" t="n">
        <f aca="false">B349</f>
        <v>0</v>
      </c>
      <c r="C354" s="6" t="s">
        <v>340</v>
      </c>
      <c r="D354" s="8" t="s">
        <v>341</v>
      </c>
      <c r="E354" s="71" t="n">
        <f aca="false">'Norms &amp; Assumptions'!B48</f>
        <v>0.2</v>
      </c>
      <c r="F354" s="63" t="n">
        <f aca="false">IF(B349="",2,IF(B349&gt;=DATE(2026,4,8),4,2))</f>
        <v>2</v>
      </c>
      <c r="G354" s="71" t="n">
        <f aca="false">E354*F354</f>
        <v>0.4</v>
      </c>
      <c r="H354" s="59"/>
      <c r="I354" s="72" t="str">
        <f aca="false">IF(H354="","",H354-G354)</f>
        <v/>
      </c>
      <c r="J354" s="33"/>
    </row>
    <row r="355" customFormat="false" ht="18" hidden="false" customHeight="true" outlineLevel="0" collapsed="false">
      <c r="A355" s="57" t="n">
        <v>351</v>
      </c>
      <c r="B355" s="73" t="n">
        <f aca="false">B349</f>
        <v>0</v>
      </c>
      <c r="C355" s="6" t="s">
        <v>342</v>
      </c>
      <c r="D355" s="8" t="s">
        <v>343</v>
      </c>
      <c r="E355" s="71" t="n">
        <f aca="false">'Norms &amp; Assumptions'!B49</f>
        <v>0.05</v>
      </c>
      <c r="F355" s="63" t="n">
        <f aca="false">IF(B349="",2,IF(B349&gt;=DATE(2026,4,8),4,2))</f>
        <v>2</v>
      </c>
      <c r="G355" s="71" t="n">
        <f aca="false">E355*F355</f>
        <v>0.1</v>
      </c>
      <c r="H355" s="59"/>
      <c r="I355" s="72" t="str">
        <f aca="false">IF(H355="","",H355-G355)</f>
        <v/>
      </c>
      <c r="J355" s="33"/>
    </row>
    <row r="356" customFormat="false" ht="18" hidden="false" customHeight="true" outlineLevel="0" collapsed="false">
      <c r="A356" s="57" t="n">
        <v>352</v>
      </c>
      <c r="B356" s="73" t="n">
        <f aca="false">B349</f>
        <v>0</v>
      </c>
      <c r="C356" s="6" t="s">
        <v>98</v>
      </c>
      <c r="D356" s="8" t="s">
        <v>344</v>
      </c>
      <c r="E356" s="71" t="n">
        <f aca="false">'Norms &amp; Assumptions'!B50</f>
        <v>0.033</v>
      </c>
      <c r="F356" s="63" t="n">
        <f aca="false">IF(B349="",2,IF(B349&gt;=DATE(2026,4,8),4,2))</f>
        <v>2</v>
      </c>
      <c r="G356" s="71" t="n">
        <f aca="false">E356*F356</f>
        <v>0.066</v>
      </c>
      <c r="H356" s="59"/>
      <c r="I356" s="72" t="str">
        <f aca="false">IF(H356="","",H356-G356)</f>
        <v/>
      </c>
      <c r="J356" s="33"/>
    </row>
    <row r="357" customFormat="false" ht="18" hidden="false" customHeight="true" outlineLevel="0" collapsed="false">
      <c r="A357" s="57" t="n">
        <v>353</v>
      </c>
      <c r="B357" s="64"/>
      <c r="C357" s="6" t="s">
        <v>332</v>
      </c>
      <c r="D357" s="8" t="s">
        <v>333</v>
      </c>
      <c r="E357" s="71" t="n">
        <f aca="false">'Norms &amp; Assumptions'!B43</f>
        <v>2.5</v>
      </c>
      <c r="F357" s="63" t="n">
        <f aca="false">IF(B357="",2,IF(B357&gt;=DATE(2026,4,8),4,2))</f>
        <v>2</v>
      </c>
      <c r="G357" s="71" t="n">
        <f aca="false">E357*F357</f>
        <v>5</v>
      </c>
      <c r="H357" s="59"/>
      <c r="I357" s="72" t="str">
        <f aca="false">IF(H357="","",H357-G357)</f>
        <v/>
      </c>
      <c r="J357" s="33"/>
    </row>
    <row r="358" customFormat="false" ht="18" hidden="false" customHeight="true" outlineLevel="0" collapsed="false">
      <c r="A358" s="57" t="n">
        <v>354</v>
      </c>
      <c r="B358" s="73" t="n">
        <f aca="false">B357</f>
        <v>0</v>
      </c>
      <c r="C358" s="6" t="s">
        <v>81</v>
      </c>
      <c r="D358" s="8" t="s">
        <v>333</v>
      </c>
      <c r="E358" s="71" t="n">
        <f aca="false">'Norms &amp; Assumptions'!B44</f>
        <v>1.2</v>
      </c>
      <c r="F358" s="63" t="n">
        <f aca="false">IF(B357="",2,IF(B357&gt;=DATE(2026,4,8),4,2))</f>
        <v>2</v>
      </c>
      <c r="G358" s="71" t="n">
        <f aca="false">E358*F358</f>
        <v>2.4</v>
      </c>
      <c r="H358" s="59"/>
      <c r="I358" s="72" t="str">
        <f aca="false">IF(H358="","",H358-G358)</f>
        <v/>
      </c>
      <c r="J358" s="33"/>
    </row>
    <row r="359" customFormat="false" ht="18" hidden="false" customHeight="true" outlineLevel="0" collapsed="false">
      <c r="A359" s="57" t="n">
        <v>355</v>
      </c>
      <c r="B359" s="73" t="n">
        <f aca="false">B357</f>
        <v>0</v>
      </c>
      <c r="C359" s="6" t="s">
        <v>334</v>
      </c>
      <c r="D359" s="8" t="s">
        <v>335</v>
      </c>
      <c r="E359" s="71" t="n">
        <f aca="false">'Norms &amp; Assumptions'!B45</f>
        <v>0.5</v>
      </c>
      <c r="F359" s="63" t="n">
        <f aca="false">IF(B357="",2,IF(B357&gt;=DATE(2026,4,8),4,2))</f>
        <v>2</v>
      </c>
      <c r="G359" s="71" t="n">
        <f aca="false">E359*F359</f>
        <v>1</v>
      </c>
      <c r="H359" s="59"/>
      <c r="I359" s="72" t="str">
        <f aca="false">IF(H359="","",H359-G359)</f>
        <v/>
      </c>
      <c r="J359" s="33"/>
    </row>
    <row r="360" customFormat="false" ht="18" hidden="false" customHeight="true" outlineLevel="0" collapsed="false">
      <c r="A360" s="57" t="n">
        <v>356</v>
      </c>
      <c r="B360" s="73" t="n">
        <f aca="false">B357</f>
        <v>0</v>
      </c>
      <c r="C360" s="6" t="s">
        <v>336</v>
      </c>
      <c r="D360" s="8" t="s">
        <v>337</v>
      </c>
      <c r="E360" s="71" t="n">
        <f aca="false">'Norms &amp; Assumptions'!B46</f>
        <v>0.05</v>
      </c>
      <c r="F360" s="63" t="n">
        <f aca="false">IF(B357="",2,IF(B357&gt;=DATE(2026,4,8),4,2))</f>
        <v>2</v>
      </c>
      <c r="G360" s="71" t="n">
        <f aca="false">E360*F360</f>
        <v>0.1</v>
      </c>
      <c r="H360" s="59"/>
      <c r="I360" s="72" t="str">
        <f aca="false">IF(H360="","",H360-G360)</f>
        <v/>
      </c>
      <c r="J360" s="33"/>
    </row>
    <row r="361" customFormat="false" ht="18" hidden="false" customHeight="true" outlineLevel="0" collapsed="false">
      <c r="A361" s="57" t="n">
        <v>357</v>
      </c>
      <c r="B361" s="73" t="n">
        <f aca="false">B357</f>
        <v>0</v>
      </c>
      <c r="C361" s="6" t="s">
        <v>338</v>
      </c>
      <c r="D361" s="8" t="s">
        <v>339</v>
      </c>
      <c r="E361" s="71" t="n">
        <f aca="false">'Norms &amp; Assumptions'!B47</f>
        <v>0.2</v>
      </c>
      <c r="F361" s="63" t="n">
        <f aca="false">IF(B357="",2,IF(B357&gt;=DATE(2026,4,8),4,2))</f>
        <v>2</v>
      </c>
      <c r="G361" s="71" t="n">
        <f aca="false">E361*F361</f>
        <v>0.4</v>
      </c>
      <c r="H361" s="59"/>
      <c r="I361" s="72" t="str">
        <f aca="false">IF(H361="","",H361-G361)</f>
        <v/>
      </c>
      <c r="J361" s="33"/>
    </row>
    <row r="362" customFormat="false" ht="18" hidden="false" customHeight="true" outlineLevel="0" collapsed="false">
      <c r="A362" s="57" t="n">
        <v>358</v>
      </c>
      <c r="B362" s="73" t="n">
        <f aca="false">B357</f>
        <v>0</v>
      </c>
      <c r="C362" s="6" t="s">
        <v>340</v>
      </c>
      <c r="D362" s="8" t="s">
        <v>341</v>
      </c>
      <c r="E362" s="71" t="n">
        <f aca="false">'Norms &amp; Assumptions'!B48</f>
        <v>0.2</v>
      </c>
      <c r="F362" s="63" t="n">
        <f aca="false">IF(B357="",2,IF(B357&gt;=DATE(2026,4,8),4,2))</f>
        <v>2</v>
      </c>
      <c r="G362" s="71" t="n">
        <f aca="false">E362*F362</f>
        <v>0.4</v>
      </c>
      <c r="H362" s="59"/>
      <c r="I362" s="72" t="str">
        <f aca="false">IF(H362="","",H362-G362)</f>
        <v/>
      </c>
      <c r="J362" s="33"/>
    </row>
    <row r="363" customFormat="false" ht="18" hidden="false" customHeight="true" outlineLevel="0" collapsed="false">
      <c r="A363" s="57" t="n">
        <v>359</v>
      </c>
      <c r="B363" s="73" t="n">
        <f aca="false">B357</f>
        <v>0</v>
      </c>
      <c r="C363" s="6" t="s">
        <v>342</v>
      </c>
      <c r="D363" s="8" t="s">
        <v>343</v>
      </c>
      <c r="E363" s="71" t="n">
        <f aca="false">'Norms &amp; Assumptions'!B49</f>
        <v>0.05</v>
      </c>
      <c r="F363" s="63" t="n">
        <f aca="false">IF(B357="",2,IF(B357&gt;=DATE(2026,4,8),4,2))</f>
        <v>2</v>
      </c>
      <c r="G363" s="71" t="n">
        <f aca="false">E363*F363</f>
        <v>0.1</v>
      </c>
      <c r="H363" s="59"/>
      <c r="I363" s="72" t="str">
        <f aca="false">IF(H363="","",H363-G363)</f>
        <v/>
      </c>
      <c r="J363" s="33"/>
    </row>
    <row r="364" customFormat="false" ht="18" hidden="false" customHeight="true" outlineLevel="0" collapsed="false">
      <c r="A364" s="57" t="n">
        <v>360</v>
      </c>
      <c r="B364" s="73" t="n">
        <f aca="false">B357</f>
        <v>0</v>
      </c>
      <c r="C364" s="6" t="s">
        <v>98</v>
      </c>
      <c r="D364" s="8" t="s">
        <v>344</v>
      </c>
      <c r="E364" s="71" t="n">
        <f aca="false">'Norms &amp; Assumptions'!B50</f>
        <v>0.033</v>
      </c>
      <c r="F364" s="63" t="n">
        <f aca="false">IF(B357="",2,IF(B357&gt;=DATE(2026,4,8),4,2))</f>
        <v>2</v>
      </c>
      <c r="G364" s="71" t="n">
        <f aca="false">E364*F364</f>
        <v>0.066</v>
      </c>
      <c r="H364" s="59"/>
      <c r="I364" s="72" t="str">
        <f aca="false">IF(H364="","",H364-G364)</f>
        <v/>
      </c>
      <c r="J364" s="33"/>
    </row>
    <row r="365" customFormat="false" ht="18" hidden="false" customHeight="true" outlineLevel="0" collapsed="false">
      <c r="A365" s="57" t="n">
        <v>361</v>
      </c>
      <c r="B365" s="64"/>
      <c r="C365" s="6" t="s">
        <v>332</v>
      </c>
      <c r="D365" s="8" t="s">
        <v>333</v>
      </c>
      <c r="E365" s="71" t="n">
        <f aca="false">'Norms &amp; Assumptions'!B43</f>
        <v>2.5</v>
      </c>
      <c r="F365" s="63" t="n">
        <f aca="false">IF(B365="",2,IF(B365&gt;=DATE(2026,4,8),4,2))</f>
        <v>2</v>
      </c>
      <c r="G365" s="71" t="n">
        <f aca="false">E365*F365</f>
        <v>5</v>
      </c>
      <c r="H365" s="59"/>
      <c r="I365" s="72" t="str">
        <f aca="false">IF(H365="","",H365-G365)</f>
        <v/>
      </c>
      <c r="J365" s="33"/>
    </row>
    <row r="366" customFormat="false" ht="18" hidden="false" customHeight="true" outlineLevel="0" collapsed="false">
      <c r="A366" s="57" t="n">
        <v>362</v>
      </c>
      <c r="B366" s="73" t="n">
        <f aca="false">B365</f>
        <v>0</v>
      </c>
      <c r="C366" s="6" t="s">
        <v>81</v>
      </c>
      <c r="D366" s="8" t="s">
        <v>333</v>
      </c>
      <c r="E366" s="71" t="n">
        <f aca="false">'Norms &amp; Assumptions'!B44</f>
        <v>1.2</v>
      </c>
      <c r="F366" s="63" t="n">
        <f aca="false">IF(B365="",2,IF(B365&gt;=DATE(2026,4,8),4,2))</f>
        <v>2</v>
      </c>
      <c r="G366" s="71" t="n">
        <f aca="false">E366*F366</f>
        <v>2.4</v>
      </c>
      <c r="H366" s="59"/>
      <c r="I366" s="72" t="str">
        <f aca="false">IF(H366="","",H366-G366)</f>
        <v/>
      </c>
      <c r="J366" s="33"/>
    </row>
    <row r="367" customFormat="false" ht="18" hidden="false" customHeight="true" outlineLevel="0" collapsed="false">
      <c r="A367" s="57" t="n">
        <v>363</v>
      </c>
      <c r="B367" s="73" t="n">
        <f aca="false">B365</f>
        <v>0</v>
      </c>
      <c r="C367" s="6" t="s">
        <v>334</v>
      </c>
      <c r="D367" s="8" t="s">
        <v>335</v>
      </c>
      <c r="E367" s="71" t="n">
        <f aca="false">'Norms &amp; Assumptions'!B45</f>
        <v>0.5</v>
      </c>
      <c r="F367" s="63" t="n">
        <f aca="false">IF(B365="",2,IF(B365&gt;=DATE(2026,4,8),4,2))</f>
        <v>2</v>
      </c>
      <c r="G367" s="71" t="n">
        <f aca="false">E367*F367</f>
        <v>1</v>
      </c>
      <c r="H367" s="59"/>
      <c r="I367" s="72" t="str">
        <f aca="false">IF(H367="","",H367-G367)</f>
        <v/>
      </c>
      <c r="J367" s="33"/>
    </row>
    <row r="368" customFormat="false" ht="18" hidden="false" customHeight="true" outlineLevel="0" collapsed="false">
      <c r="A368" s="57" t="n">
        <v>364</v>
      </c>
      <c r="B368" s="73" t="n">
        <f aca="false">B365</f>
        <v>0</v>
      </c>
      <c r="C368" s="6" t="s">
        <v>336</v>
      </c>
      <c r="D368" s="8" t="s">
        <v>337</v>
      </c>
      <c r="E368" s="71" t="n">
        <f aca="false">'Norms &amp; Assumptions'!B46</f>
        <v>0.05</v>
      </c>
      <c r="F368" s="63" t="n">
        <f aca="false">IF(B365="",2,IF(B365&gt;=DATE(2026,4,8),4,2))</f>
        <v>2</v>
      </c>
      <c r="G368" s="71" t="n">
        <f aca="false">E368*F368</f>
        <v>0.1</v>
      </c>
      <c r="H368" s="59"/>
      <c r="I368" s="72" t="str">
        <f aca="false">IF(H368="","",H368-G368)</f>
        <v/>
      </c>
      <c r="J368" s="33"/>
    </row>
    <row r="369" customFormat="false" ht="18" hidden="false" customHeight="true" outlineLevel="0" collapsed="false">
      <c r="A369" s="57" t="n">
        <v>365</v>
      </c>
      <c r="B369" s="73" t="n">
        <f aca="false">B365</f>
        <v>0</v>
      </c>
      <c r="C369" s="6" t="s">
        <v>338</v>
      </c>
      <c r="D369" s="8" t="s">
        <v>339</v>
      </c>
      <c r="E369" s="71" t="n">
        <f aca="false">'Norms &amp; Assumptions'!B47</f>
        <v>0.2</v>
      </c>
      <c r="F369" s="63" t="n">
        <f aca="false">IF(B365="",2,IF(B365&gt;=DATE(2026,4,8),4,2))</f>
        <v>2</v>
      </c>
      <c r="G369" s="71" t="n">
        <f aca="false">E369*F369</f>
        <v>0.4</v>
      </c>
      <c r="H369" s="59"/>
      <c r="I369" s="72" t="str">
        <f aca="false">IF(H369="","",H369-G369)</f>
        <v/>
      </c>
      <c r="J369" s="33"/>
    </row>
    <row r="370" customFormat="false" ht="18" hidden="false" customHeight="true" outlineLevel="0" collapsed="false">
      <c r="A370" s="57" t="n">
        <v>366</v>
      </c>
      <c r="B370" s="73" t="n">
        <f aca="false">B365</f>
        <v>0</v>
      </c>
      <c r="C370" s="6" t="s">
        <v>340</v>
      </c>
      <c r="D370" s="8" t="s">
        <v>341</v>
      </c>
      <c r="E370" s="71" t="n">
        <f aca="false">'Norms &amp; Assumptions'!B48</f>
        <v>0.2</v>
      </c>
      <c r="F370" s="63" t="n">
        <f aca="false">IF(B365="",2,IF(B365&gt;=DATE(2026,4,8),4,2))</f>
        <v>2</v>
      </c>
      <c r="G370" s="71" t="n">
        <f aca="false">E370*F370</f>
        <v>0.4</v>
      </c>
      <c r="H370" s="59"/>
      <c r="I370" s="72" t="str">
        <f aca="false">IF(H370="","",H370-G370)</f>
        <v/>
      </c>
      <c r="J370" s="33"/>
    </row>
    <row r="371" customFormat="false" ht="18" hidden="false" customHeight="true" outlineLevel="0" collapsed="false">
      <c r="A371" s="57" t="n">
        <v>367</v>
      </c>
      <c r="B371" s="73" t="n">
        <f aca="false">B365</f>
        <v>0</v>
      </c>
      <c r="C371" s="6" t="s">
        <v>342</v>
      </c>
      <c r="D371" s="8" t="s">
        <v>343</v>
      </c>
      <c r="E371" s="71" t="n">
        <f aca="false">'Norms &amp; Assumptions'!B49</f>
        <v>0.05</v>
      </c>
      <c r="F371" s="63" t="n">
        <f aca="false">IF(B365="",2,IF(B365&gt;=DATE(2026,4,8),4,2))</f>
        <v>2</v>
      </c>
      <c r="G371" s="71" t="n">
        <f aca="false">E371*F371</f>
        <v>0.1</v>
      </c>
      <c r="H371" s="59"/>
      <c r="I371" s="72" t="str">
        <f aca="false">IF(H371="","",H371-G371)</f>
        <v/>
      </c>
      <c r="J371" s="33"/>
    </row>
    <row r="372" customFormat="false" ht="18" hidden="false" customHeight="true" outlineLevel="0" collapsed="false">
      <c r="A372" s="57" t="n">
        <v>368</v>
      </c>
      <c r="B372" s="73" t="n">
        <f aca="false">B365</f>
        <v>0</v>
      </c>
      <c r="C372" s="6" t="s">
        <v>98</v>
      </c>
      <c r="D372" s="8" t="s">
        <v>344</v>
      </c>
      <c r="E372" s="71" t="n">
        <f aca="false">'Norms &amp; Assumptions'!B50</f>
        <v>0.033</v>
      </c>
      <c r="F372" s="63" t="n">
        <f aca="false">IF(B365="",2,IF(B365&gt;=DATE(2026,4,8),4,2))</f>
        <v>2</v>
      </c>
      <c r="G372" s="71" t="n">
        <f aca="false">E372*F372</f>
        <v>0.066</v>
      </c>
      <c r="H372" s="59"/>
      <c r="I372" s="72" t="str">
        <f aca="false">IF(H372="","",H372-G372)</f>
        <v/>
      </c>
      <c r="J372" s="33"/>
    </row>
    <row r="373" customFormat="false" ht="18" hidden="false" customHeight="true" outlineLevel="0" collapsed="false">
      <c r="A373" s="57" t="n">
        <v>369</v>
      </c>
      <c r="B373" s="64"/>
      <c r="C373" s="6" t="s">
        <v>332</v>
      </c>
      <c r="D373" s="8" t="s">
        <v>333</v>
      </c>
      <c r="E373" s="71" t="n">
        <f aca="false">'Norms &amp; Assumptions'!B43</f>
        <v>2.5</v>
      </c>
      <c r="F373" s="63" t="n">
        <f aca="false">IF(B373="",2,IF(B373&gt;=DATE(2026,4,8),4,2))</f>
        <v>2</v>
      </c>
      <c r="G373" s="71" t="n">
        <f aca="false">E373*F373</f>
        <v>5</v>
      </c>
      <c r="H373" s="59"/>
      <c r="I373" s="72" t="str">
        <f aca="false">IF(H373="","",H373-G373)</f>
        <v/>
      </c>
      <c r="J373" s="33"/>
    </row>
    <row r="374" customFormat="false" ht="18" hidden="false" customHeight="true" outlineLevel="0" collapsed="false">
      <c r="A374" s="57" t="n">
        <v>370</v>
      </c>
      <c r="B374" s="73" t="n">
        <f aca="false">B373</f>
        <v>0</v>
      </c>
      <c r="C374" s="6" t="s">
        <v>81</v>
      </c>
      <c r="D374" s="8" t="s">
        <v>333</v>
      </c>
      <c r="E374" s="71" t="n">
        <f aca="false">'Norms &amp; Assumptions'!B44</f>
        <v>1.2</v>
      </c>
      <c r="F374" s="63" t="n">
        <f aca="false">IF(B373="",2,IF(B373&gt;=DATE(2026,4,8),4,2))</f>
        <v>2</v>
      </c>
      <c r="G374" s="71" t="n">
        <f aca="false">E374*F374</f>
        <v>2.4</v>
      </c>
      <c r="H374" s="59"/>
      <c r="I374" s="72" t="str">
        <f aca="false">IF(H374="","",H374-G374)</f>
        <v/>
      </c>
      <c r="J374" s="33"/>
    </row>
    <row r="375" customFormat="false" ht="18" hidden="false" customHeight="true" outlineLevel="0" collapsed="false">
      <c r="A375" s="57" t="n">
        <v>371</v>
      </c>
      <c r="B375" s="73" t="n">
        <f aca="false">B373</f>
        <v>0</v>
      </c>
      <c r="C375" s="6" t="s">
        <v>334</v>
      </c>
      <c r="D375" s="8" t="s">
        <v>335</v>
      </c>
      <c r="E375" s="71" t="n">
        <f aca="false">'Norms &amp; Assumptions'!B45</f>
        <v>0.5</v>
      </c>
      <c r="F375" s="63" t="n">
        <f aca="false">IF(B373="",2,IF(B373&gt;=DATE(2026,4,8),4,2))</f>
        <v>2</v>
      </c>
      <c r="G375" s="71" t="n">
        <f aca="false">E375*F375</f>
        <v>1</v>
      </c>
      <c r="H375" s="59"/>
      <c r="I375" s="72" t="str">
        <f aca="false">IF(H375="","",H375-G375)</f>
        <v/>
      </c>
      <c r="J375" s="33"/>
    </row>
    <row r="376" customFormat="false" ht="18" hidden="false" customHeight="true" outlineLevel="0" collapsed="false">
      <c r="A376" s="57" t="n">
        <v>372</v>
      </c>
      <c r="B376" s="73" t="n">
        <f aca="false">B373</f>
        <v>0</v>
      </c>
      <c r="C376" s="6" t="s">
        <v>336</v>
      </c>
      <c r="D376" s="8" t="s">
        <v>337</v>
      </c>
      <c r="E376" s="71" t="n">
        <f aca="false">'Norms &amp; Assumptions'!B46</f>
        <v>0.05</v>
      </c>
      <c r="F376" s="63" t="n">
        <f aca="false">IF(B373="",2,IF(B373&gt;=DATE(2026,4,8),4,2))</f>
        <v>2</v>
      </c>
      <c r="G376" s="71" t="n">
        <f aca="false">E376*F376</f>
        <v>0.1</v>
      </c>
      <c r="H376" s="59"/>
      <c r="I376" s="72" t="str">
        <f aca="false">IF(H376="","",H376-G376)</f>
        <v/>
      </c>
      <c r="J376" s="33"/>
    </row>
    <row r="377" customFormat="false" ht="18" hidden="false" customHeight="true" outlineLevel="0" collapsed="false">
      <c r="A377" s="57" t="n">
        <v>373</v>
      </c>
      <c r="B377" s="73" t="n">
        <f aca="false">B373</f>
        <v>0</v>
      </c>
      <c r="C377" s="6" t="s">
        <v>338</v>
      </c>
      <c r="D377" s="8" t="s">
        <v>339</v>
      </c>
      <c r="E377" s="71" t="n">
        <f aca="false">'Norms &amp; Assumptions'!B47</f>
        <v>0.2</v>
      </c>
      <c r="F377" s="63" t="n">
        <f aca="false">IF(B373="",2,IF(B373&gt;=DATE(2026,4,8),4,2))</f>
        <v>2</v>
      </c>
      <c r="G377" s="71" t="n">
        <f aca="false">E377*F377</f>
        <v>0.4</v>
      </c>
      <c r="H377" s="59"/>
      <c r="I377" s="72" t="str">
        <f aca="false">IF(H377="","",H377-G377)</f>
        <v/>
      </c>
      <c r="J377" s="33"/>
    </row>
    <row r="378" customFormat="false" ht="18" hidden="false" customHeight="true" outlineLevel="0" collapsed="false">
      <c r="A378" s="57" t="n">
        <v>374</v>
      </c>
      <c r="B378" s="73" t="n">
        <f aca="false">B373</f>
        <v>0</v>
      </c>
      <c r="C378" s="6" t="s">
        <v>340</v>
      </c>
      <c r="D378" s="8" t="s">
        <v>341</v>
      </c>
      <c r="E378" s="71" t="n">
        <f aca="false">'Norms &amp; Assumptions'!B48</f>
        <v>0.2</v>
      </c>
      <c r="F378" s="63" t="n">
        <f aca="false">IF(B373="",2,IF(B373&gt;=DATE(2026,4,8),4,2))</f>
        <v>2</v>
      </c>
      <c r="G378" s="71" t="n">
        <f aca="false">E378*F378</f>
        <v>0.4</v>
      </c>
      <c r="H378" s="59"/>
      <c r="I378" s="72" t="str">
        <f aca="false">IF(H378="","",H378-G378)</f>
        <v/>
      </c>
      <c r="J378" s="33"/>
    </row>
    <row r="379" customFormat="false" ht="18" hidden="false" customHeight="true" outlineLevel="0" collapsed="false">
      <c r="A379" s="57" t="n">
        <v>375</v>
      </c>
      <c r="B379" s="73" t="n">
        <f aca="false">B373</f>
        <v>0</v>
      </c>
      <c r="C379" s="6" t="s">
        <v>342</v>
      </c>
      <c r="D379" s="8" t="s">
        <v>343</v>
      </c>
      <c r="E379" s="71" t="n">
        <f aca="false">'Norms &amp; Assumptions'!B49</f>
        <v>0.05</v>
      </c>
      <c r="F379" s="63" t="n">
        <f aca="false">IF(B373="",2,IF(B373&gt;=DATE(2026,4,8),4,2))</f>
        <v>2</v>
      </c>
      <c r="G379" s="71" t="n">
        <f aca="false">E379*F379</f>
        <v>0.1</v>
      </c>
      <c r="H379" s="59"/>
      <c r="I379" s="72" t="str">
        <f aca="false">IF(H379="","",H379-G379)</f>
        <v/>
      </c>
      <c r="J379" s="33"/>
    </row>
    <row r="380" customFormat="false" ht="18" hidden="false" customHeight="true" outlineLevel="0" collapsed="false">
      <c r="A380" s="57" t="n">
        <v>376</v>
      </c>
      <c r="B380" s="73" t="n">
        <f aca="false">B373</f>
        <v>0</v>
      </c>
      <c r="C380" s="6" t="s">
        <v>98</v>
      </c>
      <c r="D380" s="8" t="s">
        <v>344</v>
      </c>
      <c r="E380" s="71" t="n">
        <f aca="false">'Norms &amp; Assumptions'!B50</f>
        <v>0.033</v>
      </c>
      <c r="F380" s="63" t="n">
        <f aca="false">IF(B373="",2,IF(B373&gt;=DATE(2026,4,8),4,2))</f>
        <v>2</v>
      </c>
      <c r="G380" s="71" t="n">
        <f aca="false">E380*F380</f>
        <v>0.066</v>
      </c>
      <c r="H380" s="59"/>
      <c r="I380" s="72" t="str">
        <f aca="false">IF(H380="","",H380-G380)</f>
        <v/>
      </c>
      <c r="J380" s="33"/>
    </row>
    <row r="381" customFormat="false" ht="18" hidden="false" customHeight="true" outlineLevel="0" collapsed="false">
      <c r="A381" s="57" t="n">
        <v>377</v>
      </c>
      <c r="B381" s="64"/>
      <c r="C381" s="6" t="s">
        <v>332</v>
      </c>
      <c r="D381" s="8" t="s">
        <v>333</v>
      </c>
      <c r="E381" s="71" t="n">
        <f aca="false">'Norms &amp; Assumptions'!B43</f>
        <v>2.5</v>
      </c>
      <c r="F381" s="63" t="n">
        <f aca="false">IF(B381="",2,IF(B381&gt;=DATE(2026,4,8),4,2))</f>
        <v>2</v>
      </c>
      <c r="G381" s="71" t="n">
        <f aca="false">E381*F381</f>
        <v>5</v>
      </c>
      <c r="H381" s="59"/>
      <c r="I381" s="72" t="str">
        <f aca="false">IF(H381="","",H381-G381)</f>
        <v/>
      </c>
      <c r="J381" s="33"/>
    </row>
    <row r="382" customFormat="false" ht="18" hidden="false" customHeight="true" outlineLevel="0" collapsed="false">
      <c r="A382" s="57" t="n">
        <v>378</v>
      </c>
      <c r="B382" s="73" t="n">
        <f aca="false">B381</f>
        <v>0</v>
      </c>
      <c r="C382" s="6" t="s">
        <v>81</v>
      </c>
      <c r="D382" s="8" t="s">
        <v>333</v>
      </c>
      <c r="E382" s="71" t="n">
        <f aca="false">'Norms &amp; Assumptions'!B44</f>
        <v>1.2</v>
      </c>
      <c r="F382" s="63" t="n">
        <f aca="false">IF(B381="",2,IF(B381&gt;=DATE(2026,4,8),4,2))</f>
        <v>2</v>
      </c>
      <c r="G382" s="71" t="n">
        <f aca="false">E382*F382</f>
        <v>2.4</v>
      </c>
      <c r="H382" s="59"/>
      <c r="I382" s="72" t="str">
        <f aca="false">IF(H382="","",H382-G382)</f>
        <v/>
      </c>
      <c r="J382" s="33"/>
    </row>
    <row r="383" customFormat="false" ht="18" hidden="false" customHeight="true" outlineLevel="0" collapsed="false">
      <c r="A383" s="57" t="n">
        <v>379</v>
      </c>
      <c r="B383" s="73" t="n">
        <f aca="false">B381</f>
        <v>0</v>
      </c>
      <c r="C383" s="6" t="s">
        <v>334</v>
      </c>
      <c r="D383" s="8" t="s">
        <v>335</v>
      </c>
      <c r="E383" s="71" t="n">
        <f aca="false">'Norms &amp; Assumptions'!B45</f>
        <v>0.5</v>
      </c>
      <c r="F383" s="63" t="n">
        <f aca="false">IF(B381="",2,IF(B381&gt;=DATE(2026,4,8),4,2))</f>
        <v>2</v>
      </c>
      <c r="G383" s="71" t="n">
        <f aca="false">E383*F383</f>
        <v>1</v>
      </c>
      <c r="H383" s="59"/>
      <c r="I383" s="72" t="str">
        <f aca="false">IF(H383="","",H383-G383)</f>
        <v/>
      </c>
      <c r="J383" s="33"/>
    </row>
    <row r="384" customFormat="false" ht="18" hidden="false" customHeight="true" outlineLevel="0" collapsed="false">
      <c r="A384" s="57" t="n">
        <v>380</v>
      </c>
      <c r="B384" s="73" t="n">
        <f aca="false">B381</f>
        <v>0</v>
      </c>
      <c r="C384" s="6" t="s">
        <v>336</v>
      </c>
      <c r="D384" s="8" t="s">
        <v>337</v>
      </c>
      <c r="E384" s="71" t="n">
        <f aca="false">'Norms &amp; Assumptions'!B46</f>
        <v>0.05</v>
      </c>
      <c r="F384" s="63" t="n">
        <f aca="false">IF(B381="",2,IF(B381&gt;=DATE(2026,4,8),4,2))</f>
        <v>2</v>
      </c>
      <c r="G384" s="71" t="n">
        <f aca="false">E384*F384</f>
        <v>0.1</v>
      </c>
      <c r="H384" s="59"/>
      <c r="I384" s="72" t="str">
        <f aca="false">IF(H384="","",H384-G384)</f>
        <v/>
      </c>
      <c r="J384" s="33"/>
    </row>
    <row r="385" customFormat="false" ht="18" hidden="false" customHeight="true" outlineLevel="0" collapsed="false">
      <c r="A385" s="57" t="n">
        <v>381</v>
      </c>
      <c r="B385" s="73" t="n">
        <f aca="false">B381</f>
        <v>0</v>
      </c>
      <c r="C385" s="6" t="s">
        <v>338</v>
      </c>
      <c r="D385" s="8" t="s">
        <v>339</v>
      </c>
      <c r="E385" s="71" t="n">
        <f aca="false">'Norms &amp; Assumptions'!B47</f>
        <v>0.2</v>
      </c>
      <c r="F385" s="63" t="n">
        <f aca="false">IF(B381="",2,IF(B381&gt;=DATE(2026,4,8),4,2))</f>
        <v>2</v>
      </c>
      <c r="G385" s="71" t="n">
        <f aca="false">E385*F385</f>
        <v>0.4</v>
      </c>
      <c r="H385" s="59"/>
      <c r="I385" s="72" t="str">
        <f aca="false">IF(H385="","",H385-G385)</f>
        <v/>
      </c>
      <c r="J385" s="33"/>
    </row>
    <row r="386" customFormat="false" ht="18" hidden="false" customHeight="true" outlineLevel="0" collapsed="false">
      <c r="A386" s="57" t="n">
        <v>382</v>
      </c>
      <c r="B386" s="73" t="n">
        <f aca="false">B381</f>
        <v>0</v>
      </c>
      <c r="C386" s="6" t="s">
        <v>340</v>
      </c>
      <c r="D386" s="8" t="s">
        <v>341</v>
      </c>
      <c r="E386" s="71" t="n">
        <f aca="false">'Norms &amp; Assumptions'!B48</f>
        <v>0.2</v>
      </c>
      <c r="F386" s="63" t="n">
        <f aca="false">IF(B381="",2,IF(B381&gt;=DATE(2026,4,8),4,2))</f>
        <v>2</v>
      </c>
      <c r="G386" s="71" t="n">
        <f aca="false">E386*F386</f>
        <v>0.4</v>
      </c>
      <c r="H386" s="59"/>
      <c r="I386" s="72" t="str">
        <f aca="false">IF(H386="","",H386-G386)</f>
        <v/>
      </c>
      <c r="J386" s="33"/>
    </row>
    <row r="387" customFormat="false" ht="18" hidden="false" customHeight="true" outlineLevel="0" collapsed="false">
      <c r="A387" s="57" t="n">
        <v>383</v>
      </c>
      <c r="B387" s="73" t="n">
        <f aca="false">B381</f>
        <v>0</v>
      </c>
      <c r="C387" s="6" t="s">
        <v>342</v>
      </c>
      <c r="D387" s="8" t="s">
        <v>343</v>
      </c>
      <c r="E387" s="71" t="n">
        <f aca="false">'Norms &amp; Assumptions'!B49</f>
        <v>0.05</v>
      </c>
      <c r="F387" s="63" t="n">
        <f aca="false">IF(B381="",2,IF(B381&gt;=DATE(2026,4,8),4,2))</f>
        <v>2</v>
      </c>
      <c r="G387" s="71" t="n">
        <f aca="false">E387*F387</f>
        <v>0.1</v>
      </c>
      <c r="H387" s="59"/>
      <c r="I387" s="72" t="str">
        <f aca="false">IF(H387="","",H387-G387)</f>
        <v/>
      </c>
      <c r="J387" s="33"/>
    </row>
    <row r="388" customFormat="false" ht="18" hidden="false" customHeight="true" outlineLevel="0" collapsed="false">
      <c r="A388" s="57" t="n">
        <v>384</v>
      </c>
      <c r="B388" s="73" t="n">
        <f aca="false">B381</f>
        <v>0</v>
      </c>
      <c r="C388" s="6" t="s">
        <v>98</v>
      </c>
      <c r="D388" s="8" t="s">
        <v>344</v>
      </c>
      <c r="E388" s="71" t="n">
        <f aca="false">'Norms &amp; Assumptions'!B50</f>
        <v>0.033</v>
      </c>
      <c r="F388" s="63" t="n">
        <f aca="false">IF(B381="",2,IF(B381&gt;=DATE(2026,4,8),4,2))</f>
        <v>2</v>
      </c>
      <c r="G388" s="71" t="n">
        <f aca="false">E388*F388</f>
        <v>0.066</v>
      </c>
      <c r="H388" s="59"/>
      <c r="I388" s="72" t="str">
        <f aca="false">IF(H388="","",H388-G388)</f>
        <v/>
      </c>
      <c r="J388" s="33"/>
    </row>
    <row r="389" customFormat="false" ht="18" hidden="false" customHeight="true" outlineLevel="0" collapsed="false">
      <c r="A389" s="57" t="n">
        <v>385</v>
      </c>
      <c r="B389" s="64"/>
      <c r="C389" s="6" t="s">
        <v>332</v>
      </c>
      <c r="D389" s="8" t="s">
        <v>333</v>
      </c>
      <c r="E389" s="71" t="n">
        <f aca="false">'Norms &amp; Assumptions'!B43</f>
        <v>2.5</v>
      </c>
      <c r="F389" s="63" t="n">
        <f aca="false">IF(B389="",2,IF(B389&gt;=DATE(2026,4,8),4,2))</f>
        <v>2</v>
      </c>
      <c r="G389" s="71" t="n">
        <f aca="false">E389*F389</f>
        <v>5</v>
      </c>
      <c r="H389" s="59"/>
      <c r="I389" s="72" t="str">
        <f aca="false">IF(H389="","",H389-G389)</f>
        <v/>
      </c>
      <c r="J389" s="33"/>
    </row>
    <row r="390" customFormat="false" ht="18" hidden="false" customHeight="true" outlineLevel="0" collapsed="false">
      <c r="A390" s="57" t="n">
        <v>386</v>
      </c>
      <c r="B390" s="73" t="n">
        <f aca="false">B389</f>
        <v>0</v>
      </c>
      <c r="C390" s="6" t="s">
        <v>81</v>
      </c>
      <c r="D390" s="8" t="s">
        <v>333</v>
      </c>
      <c r="E390" s="71" t="n">
        <f aca="false">'Norms &amp; Assumptions'!B44</f>
        <v>1.2</v>
      </c>
      <c r="F390" s="63" t="n">
        <f aca="false">IF(B389="",2,IF(B389&gt;=DATE(2026,4,8),4,2))</f>
        <v>2</v>
      </c>
      <c r="G390" s="71" t="n">
        <f aca="false">E390*F390</f>
        <v>2.4</v>
      </c>
      <c r="H390" s="59"/>
      <c r="I390" s="72" t="str">
        <f aca="false">IF(H390="","",H390-G390)</f>
        <v/>
      </c>
      <c r="J390" s="33"/>
    </row>
    <row r="391" customFormat="false" ht="18" hidden="false" customHeight="true" outlineLevel="0" collapsed="false">
      <c r="A391" s="57" t="n">
        <v>387</v>
      </c>
      <c r="B391" s="73" t="n">
        <f aca="false">B389</f>
        <v>0</v>
      </c>
      <c r="C391" s="6" t="s">
        <v>334</v>
      </c>
      <c r="D391" s="8" t="s">
        <v>335</v>
      </c>
      <c r="E391" s="71" t="n">
        <f aca="false">'Norms &amp; Assumptions'!B45</f>
        <v>0.5</v>
      </c>
      <c r="F391" s="63" t="n">
        <f aca="false">IF(B389="",2,IF(B389&gt;=DATE(2026,4,8),4,2))</f>
        <v>2</v>
      </c>
      <c r="G391" s="71" t="n">
        <f aca="false">E391*F391</f>
        <v>1</v>
      </c>
      <c r="H391" s="59"/>
      <c r="I391" s="72" t="str">
        <f aca="false">IF(H391="","",H391-G391)</f>
        <v/>
      </c>
      <c r="J391" s="33"/>
    </row>
    <row r="392" customFormat="false" ht="18" hidden="false" customHeight="true" outlineLevel="0" collapsed="false">
      <c r="A392" s="57" t="n">
        <v>388</v>
      </c>
      <c r="B392" s="73" t="n">
        <f aca="false">B389</f>
        <v>0</v>
      </c>
      <c r="C392" s="6" t="s">
        <v>336</v>
      </c>
      <c r="D392" s="8" t="s">
        <v>337</v>
      </c>
      <c r="E392" s="71" t="n">
        <f aca="false">'Norms &amp; Assumptions'!B46</f>
        <v>0.05</v>
      </c>
      <c r="F392" s="63" t="n">
        <f aca="false">IF(B389="",2,IF(B389&gt;=DATE(2026,4,8),4,2))</f>
        <v>2</v>
      </c>
      <c r="G392" s="71" t="n">
        <f aca="false">E392*F392</f>
        <v>0.1</v>
      </c>
      <c r="H392" s="59"/>
      <c r="I392" s="72" t="str">
        <f aca="false">IF(H392="","",H392-G392)</f>
        <v/>
      </c>
      <c r="J392" s="33"/>
    </row>
    <row r="393" customFormat="false" ht="18" hidden="false" customHeight="true" outlineLevel="0" collapsed="false">
      <c r="A393" s="57" t="n">
        <v>389</v>
      </c>
      <c r="B393" s="73" t="n">
        <f aca="false">B389</f>
        <v>0</v>
      </c>
      <c r="C393" s="6" t="s">
        <v>338</v>
      </c>
      <c r="D393" s="8" t="s">
        <v>339</v>
      </c>
      <c r="E393" s="71" t="n">
        <f aca="false">'Norms &amp; Assumptions'!B47</f>
        <v>0.2</v>
      </c>
      <c r="F393" s="63" t="n">
        <f aca="false">IF(B389="",2,IF(B389&gt;=DATE(2026,4,8),4,2))</f>
        <v>2</v>
      </c>
      <c r="G393" s="71" t="n">
        <f aca="false">E393*F393</f>
        <v>0.4</v>
      </c>
      <c r="H393" s="59"/>
      <c r="I393" s="72" t="str">
        <f aca="false">IF(H393="","",H393-G393)</f>
        <v/>
      </c>
      <c r="J393" s="33"/>
    </row>
    <row r="394" customFormat="false" ht="18" hidden="false" customHeight="true" outlineLevel="0" collapsed="false">
      <c r="A394" s="57" t="n">
        <v>390</v>
      </c>
      <c r="B394" s="73" t="n">
        <f aca="false">B389</f>
        <v>0</v>
      </c>
      <c r="C394" s="6" t="s">
        <v>340</v>
      </c>
      <c r="D394" s="8" t="s">
        <v>341</v>
      </c>
      <c r="E394" s="71" t="n">
        <f aca="false">'Norms &amp; Assumptions'!B48</f>
        <v>0.2</v>
      </c>
      <c r="F394" s="63" t="n">
        <f aca="false">IF(B389="",2,IF(B389&gt;=DATE(2026,4,8),4,2))</f>
        <v>2</v>
      </c>
      <c r="G394" s="71" t="n">
        <f aca="false">E394*F394</f>
        <v>0.4</v>
      </c>
      <c r="H394" s="59"/>
      <c r="I394" s="72" t="str">
        <f aca="false">IF(H394="","",H394-G394)</f>
        <v/>
      </c>
      <c r="J394" s="33"/>
    </row>
    <row r="395" customFormat="false" ht="18" hidden="false" customHeight="true" outlineLevel="0" collapsed="false">
      <c r="A395" s="57" t="n">
        <v>391</v>
      </c>
      <c r="B395" s="73" t="n">
        <f aca="false">B389</f>
        <v>0</v>
      </c>
      <c r="C395" s="6" t="s">
        <v>342</v>
      </c>
      <c r="D395" s="8" t="s">
        <v>343</v>
      </c>
      <c r="E395" s="71" t="n">
        <f aca="false">'Norms &amp; Assumptions'!B49</f>
        <v>0.05</v>
      </c>
      <c r="F395" s="63" t="n">
        <f aca="false">IF(B389="",2,IF(B389&gt;=DATE(2026,4,8),4,2))</f>
        <v>2</v>
      </c>
      <c r="G395" s="71" t="n">
        <f aca="false">E395*F395</f>
        <v>0.1</v>
      </c>
      <c r="H395" s="59"/>
      <c r="I395" s="72" t="str">
        <f aca="false">IF(H395="","",H395-G395)</f>
        <v/>
      </c>
      <c r="J395" s="33"/>
    </row>
    <row r="396" customFormat="false" ht="18" hidden="false" customHeight="true" outlineLevel="0" collapsed="false">
      <c r="A396" s="57" t="n">
        <v>392</v>
      </c>
      <c r="B396" s="73" t="n">
        <f aca="false">B389</f>
        <v>0</v>
      </c>
      <c r="C396" s="6" t="s">
        <v>98</v>
      </c>
      <c r="D396" s="8" t="s">
        <v>344</v>
      </c>
      <c r="E396" s="71" t="n">
        <f aca="false">'Norms &amp; Assumptions'!B50</f>
        <v>0.033</v>
      </c>
      <c r="F396" s="63" t="n">
        <f aca="false">IF(B389="",2,IF(B389&gt;=DATE(2026,4,8),4,2))</f>
        <v>2</v>
      </c>
      <c r="G396" s="71" t="n">
        <f aca="false">E396*F396</f>
        <v>0.066</v>
      </c>
      <c r="H396" s="59"/>
      <c r="I396" s="72" t="str">
        <f aca="false">IF(H396="","",H396-G396)</f>
        <v/>
      </c>
      <c r="J396" s="33"/>
    </row>
    <row r="397" customFormat="false" ht="18" hidden="false" customHeight="true" outlineLevel="0" collapsed="false">
      <c r="A397" s="57" t="n">
        <v>393</v>
      </c>
      <c r="B397" s="64"/>
      <c r="C397" s="6" t="s">
        <v>332</v>
      </c>
      <c r="D397" s="8" t="s">
        <v>333</v>
      </c>
      <c r="E397" s="71" t="n">
        <f aca="false">'Norms &amp; Assumptions'!B43</f>
        <v>2.5</v>
      </c>
      <c r="F397" s="63" t="n">
        <f aca="false">IF(B397="",2,IF(B397&gt;=DATE(2026,4,8),4,2))</f>
        <v>2</v>
      </c>
      <c r="G397" s="71" t="n">
        <f aca="false">E397*F397</f>
        <v>5</v>
      </c>
      <c r="H397" s="59"/>
      <c r="I397" s="72" t="str">
        <f aca="false">IF(H397="","",H397-G397)</f>
        <v/>
      </c>
      <c r="J397" s="33"/>
    </row>
    <row r="398" customFormat="false" ht="18" hidden="false" customHeight="true" outlineLevel="0" collapsed="false">
      <c r="A398" s="57" t="n">
        <v>394</v>
      </c>
      <c r="B398" s="73" t="n">
        <f aca="false">B397</f>
        <v>0</v>
      </c>
      <c r="C398" s="6" t="s">
        <v>81</v>
      </c>
      <c r="D398" s="8" t="s">
        <v>333</v>
      </c>
      <c r="E398" s="71" t="n">
        <f aca="false">'Norms &amp; Assumptions'!B44</f>
        <v>1.2</v>
      </c>
      <c r="F398" s="63" t="n">
        <f aca="false">IF(B397="",2,IF(B397&gt;=DATE(2026,4,8),4,2))</f>
        <v>2</v>
      </c>
      <c r="G398" s="71" t="n">
        <f aca="false">E398*F398</f>
        <v>2.4</v>
      </c>
      <c r="H398" s="59"/>
      <c r="I398" s="72" t="str">
        <f aca="false">IF(H398="","",H398-G398)</f>
        <v/>
      </c>
      <c r="J398" s="33"/>
    </row>
    <row r="399" customFormat="false" ht="18" hidden="false" customHeight="true" outlineLevel="0" collapsed="false">
      <c r="A399" s="57" t="n">
        <v>395</v>
      </c>
      <c r="B399" s="73" t="n">
        <f aca="false">B397</f>
        <v>0</v>
      </c>
      <c r="C399" s="6" t="s">
        <v>334</v>
      </c>
      <c r="D399" s="8" t="s">
        <v>335</v>
      </c>
      <c r="E399" s="71" t="n">
        <f aca="false">'Norms &amp; Assumptions'!B45</f>
        <v>0.5</v>
      </c>
      <c r="F399" s="63" t="n">
        <f aca="false">IF(B397="",2,IF(B397&gt;=DATE(2026,4,8),4,2))</f>
        <v>2</v>
      </c>
      <c r="G399" s="71" t="n">
        <f aca="false">E399*F399</f>
        <v>1</v>
      </c>
      <c r="H399" s="59"/>
      <c r="I399" s="72" t="str">
        <f aca="false">IF(H399="","",H399-G399)</f>
        <v/>
      </c>
      <c r="J399" s="33"/>
    </row>
    <row r="400" customFormat="false" ht="18" hidden="false" customHeight="true" outlineLevel="0" collapsed="false">
      <c r="A400" s="57" t="n">
        <v>396</v>
      </c>
      <c r="B400" s="73" t="n">
        <f aca="false">B397</f>
        <v>0</v>
      </c>
      <c r="C400" s="6" t="s">
        <v>336</v>
      </c>
      <c r="D400" s="8" t="s">
        <v>337</v>
      </c>
      <c r="E400" s="71" t="n">
        <f aca="false">'Norms &amp; Assumptions'!B46</f>
        <v>0.05</v>
      </c>
      <c r="F400" s="63" t="n">
        <f aca="false">IF(B397="",2,IF(B397&gt;=DATE(2026,4,8),4,2))</f>
        <v>2</v>
      </c>
      <c r="G400" s="71" t="n">
        <f aca="false">E400*F400</f>
        <v>0.1</v>
      </c>
      <c r="H400" s="59"/>
      <c r="I400" s="72" t="str">
        <f aca="false">IF(H400="","",H400-G400)</f>
        <v/>
      </c>
      <c r="J400" s="33"/>
    </row>
    <row r="401" customFormat="false" ht="18" hidden="false" customHeight="true" outlineLevel="0" collapsed="false">
      <c r="A401" s="57" t="n">
        <v>397</v>
      </c>
      <c r="B401" s="73" t="n">
        <f aca="false">B397</f>
        <v>0</v>
      </c>
      <c r="C401" s="6" t="s">
        <v>338</v>
      </c>
      <c r="D401" s="8" t="s">
        <v>339</v>
      </c>
      <c r="E401" s="71" t="n">
        <f aca="false">'Norms &amp; Assumptions'!B47</f>
        <v>0.2</v>
      </c>
      <c r="F401" s="63" t="n">
        <f aca="false">IF(B397="",2,IF(B397&gt;=DATE(2026,4,8),4,2))</f>
        <v>2</v>
      </c>
      <c r="G401" s="71" t="n">
        <f aca="false">E401*F401</f>
        <v>0.4</v>
      </c>
      <c r="H401" s="59"/>
      <c r="I401" s="72" t="str">
        <f aca="false">IF(H401="","",H401-G401)</f>
        <v/>
      </c>
      <c r="J401" s="33"/>
    </row>
    <row r="402" customFormat="false" ht="18" hidden="false" customHeight="true" outlineLevel="0" collapsed="false">
      <c r="A402" s="57" t="n">
        <v>398</v>
      </c>
      <c r="B402" s="73" t="n">
        <f aca="false">B397</f>
        <v>0</v>
      </c>
      <c r="C402" s="6" t="s">
        <v>340</v>
      </c>
      <c r="D402" s="8" t="s">
        <v>341</v>
      </c>
      <c r="E402" s="71" t="n">
        <f aca="false">'Norms &amp; Assumptions'!B48</f>
        <v>0.2</v>
      </c>
      <c r="F402" s="63" t="n">
        <f aca="false">IF(B397="",2,IF(B397&gt;=DATE(2026,4,8),4,2))</f>
        <v>2</v>
      </c>
      <c r="G402" s="71" t="n">
        <f aca="false">E402*F402</f>
        <v>0.4</v>
      </c>
      <c r="H402" s="59"/>
      <c r="I402" s="72" t="str">
        <f aca="false">IF(H402="","",H402-G402)</f>
        <v/>
      </c>
      <c r="J402" s="33"/>
    </row>
    <row r="403" customFormat="false" ht="18" hidden="false" customHeight="true" outlineLevel="0" collapsed="false">
      <c r="A403" s="57" t="n">
        <v>399</v>
      </c>
      <c r="B403" s="73" t="n">
        <f aca="false">B397</f>
        <v>0</v>
      </c>
      <c r="C403" s="6" t="s">
        <v>342</v>
      </c>
      <c r="D403" s="8" t="s">
        <v>343</v>
      </c>
      <c r="E403" s="71" t="n">
        <f aca="false">'Norms &amp; Assumptions'!B49</f>
        <v>0.05</v>
      </c>
      <c r="F403" s="63" t="n">
        <f aca="false">IF(B397="",2,IF(B397&gt;=DATE(2026,4,8),4,2))</f>
        <v>2</v>
      </c>
      <c r="G403" s="71" t="n">
        <f aca="false">E403*F403</f>
        <v>0.1</v>
      </c>
      <c r="H403" s="59"/>
      <c r="I403" s="72" t="str">
        <f aca="false">IF(H403="","",H403-G403)</f>
        <v/>
      </c>
      <c r="J403" s="33"/>
    </row>
    <row r="404" customFormat="false" ht="18" hidden="false" customHeight="true" outlineLevel="0" collapsed="false">
      <c r="A404" s="57" t="n">
        <v>400</v>
      </c>
      <c r="B404" s="73" t="n">
        <f aca="false">B397</f>
        <v>0</v>
      </c>
      <c r="C404" s="6" t="s">
        <v>98</v>
      </c>
      <c r="D404" s="8" t="s">
        <v>344</v>
      </c>
      <c r="E404" s="71" t="n">
        <f aca="false">'Norms &amp; Assumptions'!B50</f>
        <v>0.033</v>
      </c>
      <c r="F404" s="63" t="n">
        <f aca="false">IF(B397="",2,IF(B397&gt;=DATE(2026,4,8),4,2))</f>
        <v>2</v>
      </c>
      <c r="G404" s="71" t="n">
        <f aca="false">E404*F404</f>
        <v>0.066</v>
      </c>
      <c r="H404" s="59"/>
      <c r="I404" s="72" t="str">
        <f aca="false">IF(H404="","",H404-G404)</f>
        <v/>
      </c>
      <c r="J404" s="33"/>
    </row>
    <row r="405" customFormat="false" ht="18" hidden="false" customHeight="true" outlineLevel="0" collapsed="false">
      <c r="A405" s="57" t="n">
        <v>401</v>
      </c>
      <c r="B405" s="64"/>
      <c r="C405" s="6" t="s">
        <v>332</v>
      </c>
      <c r="D405" s="8" t="s">
        <v>333</v>
      </c>
      <c r="E405" s="71" t="n">
        <f aca="false">'Norms &amp; Assumptions'!B43</f>
        <v>2.5</v>
      </c>
      <c r="F405" s="63" t="n">
        <f aca="false">IF(B405="",2,IF(B405&gt;=DATE(2026,4,8),4,2))</f>
        <v>2</v>
      </c>
      <c r="G405" s="71" t="n">
        <f aca="false">E405*F405</f>
        <v>5</v>
      </c>
      <c r="H405" s="59"/>
      <c r="I405" s="72" t="str">
        <f aca="false">IF(H405="","",H405-G405)</f>
        <v/>
      </c>
      <c r="J405" s="33"/>
    </row>
    <row r="406" customFormat="false" ht="18" hidden="false" customHeight="true" outlineLevel="0" collapsed="false">
      <c r="A406" s="57" t="n">
        <v>402</v>
      </c>
      <c r="B406" s="73" t="n">
        <f aca="false">B405</f>
        <v>0</v>
      </c>
      <c r="C406" s="6" t="s">
        <v>81</v>
      </c>
      <c r="D406" s="8" t="s">
        <v>333</v>
      </c>
      <c r="E406" s="71" t="n">
        <f aca="false">'Norms &amp; Assumptions'!B44</f>
        <v>1.2</v>
      </c>
      <c r="F406" s="63" t="n">
        <f aca="false">IF(B405="",2,IF(B405&gt;=DATE(2026,4,8),4,2))</f>
        <v>2</v>
      </c>
      <c r="G406" s="71" t="n">
        <f aca="false">E406*F406</f>
        <v>2.4</v>
      </c>
      <c r="H406" s="59"/>
      <c r="I406" s="72" t="str">
        <f aca="false">IF(H406="","",H406-G406)</f>
        <v/>
      </c>
      <c r="J406" s="33"/>
    </row>
    <row r="407" customFormat="false" ht="18" hidden="false" customHeight="true" outlineLevel="0" collapsed="false">
      <c r="A407" s="57" t="n">
        <v>403</v>
      </c>
      <c r="B407" s="73" t="n">
        <f aca="false">B405</f>
        <v>0</v>
      </c>
      <c r="C407" s="6" t="s">
        <v>334</v>
      </c>
      <c r="D407" s="8" t="s">
        <v>335</v>
      </c>
      <c r="E407" s="71" t="n">
        <f aca="false">'Norms &amp; Assumptions'!B45</f>
        <v>0.5</v>
      </c>
      <c r="F407" s="63" t="n">
        <f aca="false">IF(B405="",2,IF(B405&gt;=DATE(2026,4,8),4,2))</f>
        <v>2</v>
      </c>
      <c r="G407" s="71" t="n">
        <f aca="false">E407*F407</f>
        <v>1</v>
      </c>
      <c r="H407" s="59"/>
      <c r="I407" s="72" t="str">
        <f aca="false">IF(H407="","",H407-G407)</f>
        <v/>
      </c>
      <c r="J407" s="33"/>
    </row>
    <row r="408" customFormat="false" ht="18" hidden="false" customHeight="true" outlineLevel="0" collapsed="false">
      <c r="A408" s="57" t="n">
        <v>404</v>
      </c>
      <c r="B408" s="73" t="n">
        <f aca="false">B405</f>
        <v>0</v>
      </c>
      <c r="C408" s="6" t="s">
        <v>336</v>
      </c>
      <c r="D408" s="8" t="s">
        <v>337</v>
      </c>
      <c r="E408" s="71" t="n">
        <f aca="false">'Norms &amp; Assumptions'!B46</f>
        <v>0.05</v>
      </c>
      <c r="F408" s="63" t="n">
        <f aca="false">IF(B405="",2,IF(B405&gt;=DATE(2026,4,8),4,2))</f>
        <v>2</v>
      </c>
      <c r="G408" s="71" t="n">
        <f aca="false">E408*F408</f>
        <v>0.1</v>
      </c>
      <c r="H408" s="59"/>
      <c r="I408" s="72" t="str">
        <f aca="false">IF(H408="","",H408-G408)</f>
        <v/>
      </c>
      <c r="J408" s="33"/>
    </row>
    <row r="409" customFormat="false" ht="18" hidden="false" customHeight="true" outlineLevel="0" collapsed="false">
      <c r="A409" s="57" t="n">
        <v>405</v>
      </c>
      <c r="B409" s="73" t="n">
        <f aca="false">B405</f>
        <v>0</v>
      </c>
      <c r="C409" s="6" t="s">
        <v>338</v>
      </c>
      <c r="D409" s="8" t="s">
        <v>339</v>
      </c>
      <c r="E409" s="71" t="n">
        <f aca="false">'Norms &amp; Assumptions'!B47</f>
        <v>0.2</v>
      </c>
      <c r="F409" s="63" t="n">
        <f aca="false">IF(B405="",2,IF(B405&gt;=DATE(2026,4,8),4,2))</f>
        <v>2</v>
      </c>
      <c r="G409" s="71" t="n">
        <f aca="false">E409*F409</f>
        <v>0.4</v>
      </c>
      <c r="H409" s="59"/>
      <c r="I409" s="72" t="str">
        <f aca="false">IF(H409="","",H409-G409)</f>
        <v/>
      </c>
      <c r="J409" s="33"/>
    </row>
    <row r="410" customFormat="false" ht="18" hidden="false" customHeight="true" outlineLevel="0" collapsed="false">
      <c r="A410" s="57" t="n">
        <v>406</v>
      </c>
      <c r="B410" s="73" t="n">
        <f aca="false">B405</f>
        <v>0</v>
      </c>
      <c r="C410" s="6" t="s">
        <v>340</v>
      </c>
      <c r="D410" s="8" t="s">
        <v>341</v>
      </c>
      <c r="E410" s="71" t="n">
        <f aca="false">'Norms &amp; Assumptions'!B48</f>
        <v>0.2</v>
      </c>
      <c r="F410" s="63" t="n">
        <f aca="false">IF(B405="",2,IF(B405&gt;=DATE(2026,4,8),4,2))</f>
        <v>2</v>
      </c>
      <c r="G410" s="71" t="n">
        <f aca="false">E410*F410</f>
        <v>0.4</v>
      </c>
      <c r="H410" s="59"/>
      <c r="I410" s="72" t="str">
        <f aca="false">IF(H410="","",H410-G410)</f>
        <v/>
      </c>
      <c r="J410" s="33"/>
    </row>
    <row r="411" customFormat="false" ht="18" hidden="false" customHeight="true" outlineLevel="0" collapsed="false">
      <c r="A411" s="57" t="n">
        <v>407</v>
      </c>
      <c r="B411" s="73" t="n">
        <f aca="false">B405</f>
        <v>0</v>
      </c>
      <c r="C411" s="6" t="s">
        <v>342</v>
      </c>
      <c r="D411" s="8" t="s">
        <v>343</v>
      </c>
      <c r="E411" s="71" t="n">
        <f aca="false">'Norms &amp; Assumptions'!B49</f>
        <v>0.05</v>
      </c>
      <c r="F411" s="63" t="n">
        <f aca="false">IF(B405="",2,IF(B405&gt;=DATE(2026,4,8),4,2))</f>
        <v>2</v>
      </c>
      <c r="G411" s="71" t="n">
        <f aca="false">E411*F411</f>
        <v>0.1</v>
      </c>
      <c r="H411" s="59"/>
      <c r="I411" s="72" t="str">
        <f aca="false">IF(H411="","",H411-G411)</f>
        <v/>
      </c>
      <c r="J411" s="33"/>
    </row>
    <row r="412" customFormat="false" ht="18" hidden="false" customHeight="true" outlineLevel="0" collapsed="false">
      <c r="A412" s="57" t="n">
        <v>408</v>
      </c>
      <c r="B412" s="73" t="n">
        <f aca="false">B405</f>
        <v>0</v>
      </c>
      <c r="C412" s="6" t="s">
        <v>98</v>
      </c>
      <c r="D412" s="8" t="s">
        <v>344</v>
      </c>
      <c r="E412" s="71" t="n">
        <f aca="false">'Norms &amp; Assumptions'!B50</f>
        <v>0.033</v>
      </c>
      <c r="F412" s="63" t="n">
        <f aca="false">IF(B405="",2,IF(B405&gt;=DATE(2026,4,8),4,2))</f>
        <v>2</v>
      </c>
      <c r="G412" s="71" t="n">
        <f aca="false">E412*F412</f>
        <v>0.066</v>
      </c>
      <c r="H412" s="59"/>
      <c r="I412" s="72" t="str">
        <f aca="false">IF(H412="","",H412-G412)</f>
        <v/>
      </c>
      <c r="J412" s="33"/>
    </row>
    <row r="413" customFormat="false" ht="18" hidden="false" customHeight="true" outlineLevel="0" collapsed="false">
      <c r="A413" s="57" t="n">
        <v>409</v>
      </c>
      <c r="B413" s="64"/>
      <c r="C413" s="6" t="s">
        <v>332</v>
      </c>
      <c r="D413" s="8" t="s">
        <v>333</v>
      </c>
      <c r="E413" s="71" t="n">
        <f aca="false">'Norms &amp; Assumptions'!B43</f>
        <v>2.5</v>
      </c>
      <c r="F413" s="63" t="n">
        <f aca="false">IF(B413="",2,IF(B413&gt;=DATE(2026,4,8),4,2))</f>
        <v>2</v>
      </c>
      <c r="G413" s="71" t="n">
        <f aca="false">E413*F413</f>
        <v>5</v>
      </c>
      <c r="H413" s="59"/>
      <c r="I413" s="72" t="str">
        <f aca="false">IF(H413="","",H413-G413)</f>
        <v/>
      </c>
      <c r="J413" s="33"/>
    </row>
    <row r="414" customFormat="false" ht="18" hidden="false" customHeight="true" outlineLevel="0" collapsed="false">
      <c r="A414" s="57" t="n">
        <v>410</v>
      </c>
      <c r="B414" s="73" t="n">
        <f aca="false">B413</f>
        <v>0</v>
      </c>
      <c r="C414" s="6" t="s">
        <v>81</v>
      </c>
      <c r="D414" s="8" t="s">
        <v>333</v>
      </c>
      <c r="E414" s="71" t="n">
        <f aca="false">'Norms &amp; Assumptions'!B44</f>
        <v>1.2</v>
      </c>
      <c r="F414" s="63" t="n">
        <f aca="false">IF(B413="",2,IF(B413&gt;=DATE(2026,4,8),4,2))</f>
        <v>2</v>
      </c>
      <c r="G414" s="71" t="n">
        <f aca="false">E414*F414</f>
        <v>2.4</v>
      </c>
      <c r="H414" s="59"/>
      <c r="I414" s="72" t="str">
        <f aca="false">IF(H414="","",H414-G414)</f>
        <v/>
      </c>
      <c r="J414" s="33"/>
    </row>
    <row r="415" customFormat="false" ht="18" hidden="false" customHeight="true" outlineLevel="0" collapsed="false">
      <c r="A415" s="57" t="n">
        <v>411</v>
      </c>
      <c r="B415" s="73" t="n">
        <f aca="false">B413</f>
        <v>0</v>
      </c>
      <c r="C415" s="6" t="s">
        <v>334</v>
      </c>
      <c r="D415" s="8" t="s">
        <v>335</v>
      </c>
      <c r="E415" s="71" t="n">
        <f aca="false">'Norms &amp; Assumptions'!B45</f>
        <v>0.5</v>
      </c>
      <c r="F415" s="63" t="n">
        <f aca="false">IF(B413="",2,IF(B413&gt;=DATE(2026,4,8),4,2))</f>
        <v>2</v>
      </c>
      <c r="G415" s="71" t="n">
        <f aca="false">E415*F415</f>
        <v>1</v>
      </c>
      <c r="H415" s="59"/>
      <c r="I415" s="72" t="str">
        <f aca="false">IF(H415="","",H415-G415)</f>
        <v/>
      </c>
      <c r="J415" s="33"/>
    </row>
    <row r="416" customFormat="false" ht="18" hidden="false" customHeight="true" outlineLevel="0" collapsed="false">
      <c r="A416" s="57" t="n">
        <v>412</v>
      </c>
      <c r="B416" s="73" t="n">
        <f aca="false">B413</f>
        <v>0</v>
      </c>
      <c r="C416" s="6" t="s">
        <v>336</v>
      </c>
      <c r="D416" s="8" t="s">
        <v>337</v>
      </c>
      <c r="E416" s="71" t="n">
        <f aca="false">'Norms &amp; Assumptions'!B46</f>
        <v>0.05</v>
      </c>
      <c r="F416" s="63" t="n">
        <f aca="false">IF(B413="",2,IF(B413&gt;=DATE(2026,4,8),4,2))</f>
        <v>2</v>
      </c>
      <c r="G416" s="71" t="n">
        <f aca="false">E416*F416</f>
        <v>0.1</v>
      </c>
      <c r="H416" s="59"/>
      <c r="I416" s="72" t="str">
        <f aca="false">IF(H416="","",H416-G416)</f>
        <v/>
      </c>
      <c r="J416" s="33"/>
    </row>
    <row r="417" customFormat="false" ht="18" hidden="false" customHeight="true" outlineLevel="0" collapsed="false">
      <c r="A417" s="57" t="n">
        <v>413</v>
      </c>
      <c r="B417" s="73" t="n">
        <f aca="false">B413</f>
        <v>0</v>
      </c>
      <c r="C417" s="6" t="s">
        <v>338</v>
      </c>
      <c r="D417" s="8" t="s">
        <v>339</v>
      </c>
      <c r="E417" s="71" t="n">
        <f aca="false">'Norms &amp; Assumptions'!B47</f>
        <v>0.2</v>
      </c>
      <c r="F417" s="63" t="n">
        <f aca="false">IF(B413="",2,IF(B413&gt;=DATE(2026,4,8),4,2))</f>
        <v>2</v>
      </c>
      <c r="G417" s="71" t="n">
        <f aca="false">E417*F417</f>
        <v>0.4</v>
      </c>
      <c r="H417" s="59"/>
      <c r="I417" s="72" t="str">
        <f aca="false">IF(H417="","",H417-G417)</f>
        <v/>
      </c>
      <c r="J417" s="33"/>
    </row>
    <row r="418" customFormat="false" ht="18" hidden="false" customHeight="true" outlineLevel="0" collapsed="false">
      <c r="A418" s="57" t="n">
        <v>414</v>
      </c>
      <c r="B418" s="73" t="n">
        <f aca="false">B413</f>
        <v>0</v>
      </c>
      <c r="C418" s="6" t="s">
        <v>340</v>
      </c>
      <c r="D418" s="8" t="s">
        <v>341</v>
      </c>
      <c r="E418" s="71" t="n">
        <f aca="false">'Norms &amp; Assumptions'!B48</f>
        <v>0.2</v>
      </c>
      <c r="F418" s="63" t="n">
        <f aca="false">IF(B413="",2,IF(B413&gt;=DATE(2026,4,8),4,2))</f>
        <v>2</v>
      </c>
      <c r="G418" s="71" t="n">
        <f aca="false">E418*F418</f>
        <v>0.4</v>
      </c>
      <c r="H418" s="59"/>
      <c r="I418" s="72" t="str">
        <f aca="false">IF(H418="","",H418-G418)</f>
        <v/>
      </c>
      <c r="J418" s="33"/>
    </row>
    <row r="419" customFormat="false" ht="18" hidden="false" customHeight="true" outlineLevel="0" collapsed="false">
      <c r="A419" s="57" t="n">
        <v>415</v>
      </c>
      <c r="B419" s="73" t="n">
        <f aca="false">B413</f>
        <v>0</v>
      </c>
      <c r="C419" s="6" t="s">
        <v>342</v>
      </c>
      <c r="D419" s="8" t="s">
        <v>343</v>
      </c>
      <c r="E419" s="71" t="n">
        <f aca="false">'Norms &amp; Assumptions'!B49</f>
        <v>0.05</v>
      </c>
      <c r="F419" s="63" t="n">
        <f aca="false">IF(B413="",2,IF(B413&gt;=DATE(2026,4,8),4,2))</f>
        <v>2</v>
      </c>
      <c r="G419" s="71" t="n">
        <f aca="false">E419*F419</f>
        <v>0.1</v>
      </c>
      <c r="H419" s="59"/>
      <c r="I419" s="72" t="str">
        <f aca="false">IF(H419="","",H419-G419)</f>
        <v/>
      </c>
      <c r="J419" s="33"/>
    </row>
    <row r="420" customFormat="false" ht="18" hidden="false" customHeight="true" outlineLevel="0" collapsed="false">
      <c r="A420" s="57" t="n">
        <v>416</v>
      </c>
      <c r="B420" s="73" t="n">
        <f aca="false">B413</f>
        <v>0</v>
      </c>
      <c r="C420" s="6" t="s">
        <v>98</v>
      </c>
      <c r="D420" s="8" t="s">
        <v>344</v>
      </c>
      <c r="E420" s="71" t="n">
        <f aca="false">'Norms &amp; Assumptions'!B50</f>
        <v>0.033</v>
      </c>
      <c r="F420" s="63" t="n">
        <f aca="false">IF(B413="",2,IF(B413&gt;=DATE(2026,4,8),4,2))</f>
        <v>2</v>
      </c>
      <c r="G420" s="71" t="n">
        <f aca="false">E420*F420</f>
        <v>0.066</v>
      </c>
      <c r="H420" s="59"/>
      <c r="I420" s="72" t="str">
        <f aca="false">IF(H420="","",H420-G420)</f>
        <v/>
      </c>
      <c r="J420" s="33"/>
    </row>
    <row r="421" customFormat="false" ht="18" hidden="false" customHeight="true" outlineLevel="0" collapsed="false">
      <c r="A421" s="57" t="n">
        <v>417</v>
      </c>
      <c r="B421" s="64"/>
      <c r="C421" s="6" t="s">
        <v>332</v>
      </c>
      <c r="D421" s="8" t="s">
        <v>333</v>
      </c>
      <c r="E421" s="71" t="n">
        <f aca="false">'Norms &amp; Assumptions'!B43</f>
        <v>2.5</v>
      </c>
      <c r="F421" s="63" t="n">
        <f aca="false">IF(B421="",2,IF(B421&gt;=DATE(2026,4,8),4,2))</f>
        <v>2</v>
      </c>
      <c r="G421" s="71" t="n">
        <f aca="false">E421*F421</f>
        <v>5</v>
      </c>
      <c r="H421" s="59"/>
      <c r="I421" s="72" t="str">
        <f aca="false">IF(H421="","",H421-G421)</f>
        <v/>
      </c>
      <c r="J421" s="33"/>
    </row>
    <row r="422" customFormat="false" ht="18" hidden="false" customHeight="true" outlineLevel="0" collapsed="false">
      <c r="A422" s="57" t="n">
        <v>418</v>
      </c>
      <c r="B422" s="73" t="n">
        <f aca="false">B421</f>
        <v>0</v>
      </c>
      <c r="C422" s="6" t="s">
        <v>81</v>
      </c>
      <c r="D422" s="8" t="s">
        <v>333</v>
      </c>
      <c r="E422" s="71" t="n">
        <f aca="false">'Norms &amp; Assumptions'!B44</f>
        <v>1.2</v>
      </c>
      <c r="F422" s="63" t="n">
        <f aca="false">IF(B421="",2,IF(B421&gt;=DATE(2026,4,8),4,2))</f>
        <v>2</v>
      </c>
      <c r="G422" s="71" t="n">
        <f aca="false">E422*F422</f>
        <v>2.4</v>
      </c>
      <c r="H422" s="59"/>
      <c r="I422" s="72" t="str">
        <f aca="false">IF(H422="","",H422-G422)</f>
        <v/>
      </c>
      <c r="J422" s="33"/>
    </row>
    <row r="423" customFormat="false" ht="18" hidden="false" customHeight="true" outlineLevel="0" collapsed="false">
      <c r="A423" s="57" t="n">
        <v>419</v>
      </c>
      <c r="B423" s="73" t="n">
        <f aca="false">B421</f>
        <v>0</v>
      </c>
      <c r="C423" s="6" t="s">
        <v>334</v>
      </c>
      <c r="D423" s="8" t="s">
        <v>335</v>
      </c>
      <c r="E423" s="71" t="n">
        <f aca="false">'Norms &amp; Assumptions'!B45</f>
        <v>0.5</v>
      </c>
      <c r="F423" s="63" t="n">
        <f aca="false">IF(B421="",2,IF(B421&gt;=DATE(2026,4,8),4,2))</f>
        <v>2</v>
      </c>
      <c r="G423" s="71" t="n">
        <f aca="false">E423*F423</f>
        <v>1</v>
      </c>
      <c r="H423" s="59"/>
      <c r="I423" s="72" t="str">
        <f aca="false">IF(H423="","",H423-G423)</f>
        <v/>
      </c>
      <c r="J423" s="33"/>
    </row>
    <row r="424" customFormat="false" ht="18" hidden="false" customHeight="true" outlineLevel="0" collapsed="false">
      <c r="A424" s="57" t="n">
        <v>420</v>
      </c>
      <c r="B424" s="73" t="n">
        <f aca="false">B421</f>
        <v>0</v>
      </c>
      <c r="C424" s="6" t="s">
        <v>336</v>
      </c>
      <c r="D424" s="8" t="s">
        <v>337</v>
      </c>
      <c r="E424" s="71" t="n">
        <f aca="false">'Norms &amp; Assumptions'!B46</f>
        <v>0.05</v>
      </c>
      <c r="F424" s="63" t="n">
        <f aca="false">IF(B421="",2,IF(B421&gt;=DATE(2026,4,8),4,2))</f>
        <v>2</v>
      </c>
      <c r="G424" s="71" t="n">
        <f aca="false">E424*F424</f>
        <v>0.1</v>
      </c>
      <c r="H424" s="59"/>
      <c r="I424" s="72" t="str">
        <f aca="false">IF(H424="","",H424-G424)</f>
        <v/>
      </c>
      <c r="J424" s="33"/>
    </row>
    <row r="425" customFormat="false" ht="18" hidden="false" customHeight="true" outlineLevel="0" collapsed="false">
      <c r="A425" s="57" t="n">
        <v>421</v>
      </c>
      <c r="B425" s="73" t="n">
        <f aca="false">B421</f>
        <v>0</v>
      </c>
      <c r="C425" s="6" t="s">
        <v>338</v>
      </c>
      <c r="D425" s="8" t="s">
        <v>339</v>
      </c>
      <c r="E425" s="71" t="n">
        <f aca="false">'Norms &amp; Assumptions'!B47</f>
        <v>0.2</v>
      </c>
      <c r="F425" s="63" t="n">
        <f aca="false">IF(B421="",2,IF(B421&gt;=DATE(2026,4,8),4,2))</f>
        <v>2</v>
      </c>
      <c r="G425" s="71" t="n">
        <f aca="false">E425*F425</f>
        <v>0.4</v>
      </c>
      <c r="H425" s="59"/>
      <c r="I425" s="72" t="str">
        <f aca="false">IF(H425="","",H425-G425)</f>
        <v/>
      </c>
      <c r="J425" s="33"/>
    </row>
    <row r="426" customFormat="false" ht="18" hidden="false" customHeight="true" outlineLevel="0" collapsed="false">
      <c r="A426" s="57" t="n">
        <v>422</v>
      </c>
      <c r="B426" s="73" t="n">
        <f aca="false">B421</f>
        <v>0</v>
      </c>
      <c r="C426" s="6" t="s">
        <v>340</v>
      </c>
      <c r="D426" s="8" t="s">
        <v>341</v>
      </c>
      <c r="E426" s="71" t="n">
        <f aca="false">'Norms &amp; Assumptions'!B48</f>
        <v>0.2</v>
      </c>
      <c r="F426" s="63" t="n">
        <f aca="false">IF(B421="",2,IF(B421&gt;=DATE(2026,4,8),4,2))</f>
        <v>2</v>
      </c>
      <c r="G426" s="71" t="n">
        <f aca="false">E426*F426</f>
        <v>0.4</v>
      </c>
      <c r="H426" s="59"/>
      <c r="I426" s="72" t="str">
        <f aca="false">IF(H426="","",H426-G426)</f>
        <v/>
      </c>
      <c r="J426" s="33"/>
    </row>
    <row r="427" customFormat="false" ht="18" hidden="false" customHeight="true" outlineLevel="0" collapsed="false">
      <c r="A427" s="57" t="n">
        <v>423</v>
      </c>
      <c r="B427" s="73" t="n">
        <f aca="false">B421</f>
        <v>0</v>
      </c>
      <c r="C427" s="6" t="s">
        <v>342</v>
      </c>
      <c r="D427" s="8" t="s">
        <v>343</v>
      </c>
      <c r="E427" s="71" t="n">
        <f aca="false">'Norms &amp; Assumptions'!B49</f>
        <v>0.05</v>
      </c>
      <c r="F427" s="63" t="n">
        <f aca="false">IF(B421="",2,IF(B421&gt;=DATE(2026,4,8),4,2))</f>
        <v>2</v>
      </c>
      <c r="G427" s="71" t="n">
        <f aca="false">E427*F427</f>
        <v>0.1</v>
      </c>
      <c r="H427" s="59"/>
      <c r="I427" s="72" t="str">
        <f aca="false">IF(H427="","",H427-G427)</f>
        <v/>
      </c>
      <c r="J427" s="33"/>
    </row>
    <row r="428" customFormat="false" ht="18" hidden="false" customHeight="true" outlineLevel="0" collapsed="false">
      <c r="A428" s="57" t="n">
        <v>424</v>
      </c>
      <c r="B428" s="73" t="n">
        <f aca="false">B421</f>
        <v>0</v>
      </c>
      <c r="C428" s="6" t="s">
        <v>98</v>
      </c>
      <c r="D428" s="8" t="s">
        <v>344</v>
      </c>
      <c r="E428" s="71" t="n">
        <f aca="false">'Norms &amp; Assumptions'!B50</f>
        <v>0.033</v>
      </c>
      <c r="F428" s="63" t="n">
        <f aca="false">IF(B421="",2,IF(B421&gt;=DATE(2026,4,8),4,2))</f>
        <v>2</v>
      </c>
      <c r="G428" s="71" t="n">
        <f aca="false">E428*F428</f>
        <v>0.066</v>
      </c>
      <c r="H428" s="59"/>
      <c r="I428" s="72" t="str">
        <f aca="false">IF(H428="","",H428-G428)</f>
        <v/>
      </c>
      <c r="J428" s="33"/>
    </row>
    <row r="429" customFormat="false" ht="18" hidden="false" customHeight="true" outlineLevel="0" collapsed="false">
      <c r="A429" s="57" t="n">
        <v>425</v>
      </c>
      <c r="B429" s="64"/>
      <c r="C429" s="6" t="s">
        <v>332</v>
      </c>
      <c r="D429" s="8" t="s">
        <v>333</v>
      </c>
      <c r="E429" s="71" t="n">
        <f aca="false">'Norms &amp; Assumptions'!B43</f>
        <v>2.5</v>
      </c>
      <c r="F429" s="63" t="n">
        <f aca="false">IF(B429="",2,IF(B429&gt;=DATE(2026,4,8),4,2))</f>
        <v>2</v>
      </c>
      <c r="G429" s="71" t="n">
        <f aca="false">E429*F429</f>
        <v>5</v>
      </c>
      <c r="H429" s="59"/>
      <c r="I429" s="72" t="str">
        <f aca="false">IF(H429="","",H429-G429)</f>
        <v/>
      </c>
      <c r="J429" s="33"/>
    </row>
    <row r="430" customFormat="false" ht="18" hidden="false" customHeight="true" outlineLevel="0" collapsed="false">
      <c r="A430" s="57" t="n">
        <v>426</v>
      </c>
      <c r="B430" s="73" t="n">
        <f aca="false">B429</f>
        <v>0</v>
      </c>
      <c r="C430" s="6" t="s">
        <v>81</v>
      </c>
      <c r="D430" s="8" t="s">
        <v>333</v>
      </c>
      <c r="E430" s="71" t="n">
        <f aca="false">'Norms &amp; Assumptions'!B44</f>
        <v>1.2</v>
      </c>
      <c r="F430" s="63" t="n">
        <f aca="false">IF(B429="",2,IF(B429&gt;=DATE(2026,4,8),4,2))</f>
        <v>2</v>
      </c>
      <c r="G430" s="71" t="n">
        <f aca="false">E430*F430</f>
        <v>2.4</v>
      </c>
      <c r="H430" s="59"/>
      <c r="I430" s="72" t="str">
        <f aca="false">IF(H430="","",H430-G430)</f>
        <v/>
      </c>
      <c r="J430" s="33"/>
    </row>
    <row r="431" customFormat="false" ht="18" hidden="false" customHeight="true" outlineLevel="0" collapsed="false">
      <c r="A431" s="57" t="n">
        <v>427</v>
      </c>
      <c r="B431" s="73" t="n">
        <f aca="false">B429</f>
        <v>0</v>
      </c>
      <c r="C431" s="6" t="s">
        <v>334</v>
      </c>
      <c r="D431" s="8" t="s">
        <v>335</v>
      </c>
      <c r="E431" s="71" t="n">
        <f aca="false">'Norms &amp; Assumptions'!B45</f>
        <v>0.5</v>
      </c>
      <c r="F431" s="63" t="n">
        <f aca="false">IF(B429="",2,IF(B429&gt;=DATE(2026,4,8),4,2))</f>
        <v>2</v>
      </c>
      <c r="G431" s="71" t="n">
        <f aca="false">E431*F431</f>
        <v>1</v>
      </c>
      <c r="H431" s="59"/>
      <c r="I431" s="72" t="str">
        <f aca="false">IF(H431="","",H431-G431)</f>
        <v/>
      </c>
      <c r="J431" s="33"/>
    </row>
    <row r="432" customFormat="false" ht="18" hidden="false" customHeight="true" outlineLevel="0" collapsed="false">
      <c r="A432" s="57" t="n">
        <v>428</v>
      </c>
      <c r="B432" s="73" t="n">
        <f aca="false">B429</f>
        <v>0</v>
      </c>
      <c r="C432" s="6" t="s">
        <v>336</v>
      </c>
      <c r="D432" s="8" t="s">
        <v>337</v>
      </c>
      <c r="E432" s="71" t="n">
        <f aca="false">'Norms &amp; Assumptions'!B46</f>
        <v>0.05</v>
      </c>
      <c r="F432" s="63" t="n">
        <f aca="false">IF(B429="",2,IF(B429&gt;=DATE(2026,4,8),4,2))</f>
        <v>2</v>
      </c>
      <c r="G432" s="71" t="n">
        <f aca="false">E432*F432</f>
        <v>0.1</v>
      </c>
      <c r="H432" s="59"/>
      <c r="I432" s="72" t="str">
        <f aca="false">IF(H432="","",H432-G432)</f>
        <v/>
      </c>
      <c r="J432" s="33"/>
    </row>
    <row r="433" customFormat="false" ht="18" hidden="false" customHeight="true" outlineLevel="0" collapsed="false">
      <c r="A433" s="57" t="n">
        <v>429</v>
      </c>
      <c r="B433" s="73" t="n">
        <f aca="false">B429</f>
        <v>0</v>
      </c>
      <c r="C433" s="6" t="s">
        <v>338</v>
      </c>
      <c r="D433" s="8" t="s">
        <v>339</v>
      </c>
      <c r="E433" s="71" t="n">
        <f aca="false">'Norms &amp; Assumptions'!B47</f>
        <v>0.2</v>
      </c>
      <c r="F433" s="63" t="n">
        <f aca="false">IF(B429="",2,IF(B429&gt;=DATE(2026,4,8),4,2))</f>
        <v>2</v>
      </c>
      <c r="G433" s="71" t="n">
        <f aca="false">E433*F433</f>
        <v>0.4</v>
      </c>
      <c r="H433" s="59"/>
      <c r="I433" s="72" t="str">
        <f aca="false">IF(H433="","",H433-G433)</f>
        <v/>
      </c>
      <c r="J433" s="33"/>
    </row>
    <row r="434" customFormat="false" ht="18" hidden="false" customHeight="true" outlineLevel="0" collapsed="false">
      <c r="A434" s="57" t="n">
        <v>430</v>
      </c>
      <c r="B434" s="73" t="n">
        <f aca="false">B429</f>
        <v>0</v>
      </c>
      <c r="C434" s="6" t="s">
        <v>340</v>
      </c>
      <c r="D434" s="8" t="s">
        <v>341</v>
      </c>
      <c r="E434" s="71" t="n">
        <f aca="false">'Norms &amp; Assumptions'!B48</f>
        <v>0.2</v>
      </c>
      <c r="F434" s="63" t="n">
        <f aca="false">IF(B429="",2,IF(B429&gt;=DATE(2026,4,8),4,2))</f>
        <v>2</v>
      </c>
      <c r="G434" s="71" t="n">
        <f aca="false">E434*F434</f>
        <v>0.4</v>
      </c>
      <c r="H434" s="59"/>
      <c r="I434" s="72" t="str">
        <f aca="false">IF(H434="","",H434-G434)</f>
        <v/>
      </c>
      <c r="J434" s="33"/>
    </row>
    <row r="435" customFormat="false" ht="18" hidden="false" customHeight="true" outlineLevel="0" collapsed="false">
      <c r="A435" s="57" t="n">
        <v>431</v>
      </c>
      <c r="B435" s="73" t="n">
        <f aca="false">B429</f>
        <v>0</v>
      </c>
      <c r="C435" s="6" t="s">
        <v>342</v>
      </c>
      <c r="D435" s="8" t="s">
        <v>343</v>
      </c>
      <c r="E435" s="71" t="n">
        <f aca="false">'Norms &amp; Assumptions'!B49</f>
        <v>0.05</v>
      </c>
      <c r="F435" s="63" t="n">
        <f aca="false">IF(B429="",2,IF(B429&gt;=DATE(2026,4,8),4,2))</f>
        <v>2</v>
      </c>
      <c r="G435" s="71" t="n">
        <f aca="false">E435*F435</f>
        <v>0.1</v>
      </c>
      <c r="H435" s="59"/>
      <c r="I435" s="72" t="str">
        <f aca="false">IF(H435="","",H435-G435)</f>
        <v/>
      </c>
      <c r="J435" s="33"/>
    </row>
    <row r="436" customFormat="false" ht="18" hidden="false" customHeight="true" outlineLevel="0" collapsed="false">
      <c r="A436" s="57" t="n">
        <v>432</v>
      </c>
      <c r="B436" s="73" t="n">
        <f aca="false">B429</f>
        <v>0</v>
      </c>
      <c r="C436" s="6" t="s">
        <v>98</v>
      </c>
      <c r="D436" s="8" t="s">
        <v>344</v>
      </c>
      <c r="E436" s="71" t="n">
        <f aca="false">'Norms &amp; Assumptions'!B50</f>
        <v>0.033</v>
      </c>
      <c r="F436" s="63" t="n">
        <f aca="false">IF(B429="",2,IF(B429&gt;=DATE(2026,4,8),4,2))</f>
        <v>2</v>
      </c>
      <c r="G436" s="71" t="n">
        <f aca="false">E436*F436</f>
        <v>0.066</v>
      </c>
      <c r="H436" s="59"/>
      <c r="I436" s="72" t="str">
        <f aca="false">IF(H436="","",H436-G436)</f>
        <v/>
      </c>
      <c r="J436" s="33"/>
    </row>
    <row r="437" customFormat="false" ht="18" hidden="false" customHeight="true" outlineLevel="0" collapsed="false">
      <c r="A437" s="57" t="n">
        <v>433</v>
      </c>
      <c r="B437" s="64"/>
      <c r="C437" s="6" t="s">
        <v>332</v>
      </c>
      <c r="D437" s="8" t="s">
        <v>333</v>
      </c>
      <c r="E437" s="71" t="n">
        <f aca="false">'Norms &amp; Assumptions'!B43</f>
        <v>2.5</v>
      </c>
      <c r="F437" s="63" t="n">
        <f aca="false">IF(B437="",2,IF(B437&gt;=DATE(2026,4,8),4,2))</f>
        <v>2</v>
      </c>
      <c r="G437" s="71" t="n">
        <f aca="false">E437*F437</f>
        <v>5</v>
      </c>
      <c r="H437" s="59"/>
      <c r="I437" s="72" t="str">
        <f aca="false">IF(H437="","",H437-G437)</f>
        <v/>
      </c>
      <c r="J437" s="33"/>
    </row>
    <row r="438" customFormat="false" ht="18" hidden="false" customHeight="true" outlineLevel="0" collapsed="false">
      <c r="A438" s="57" t="n">
        <v>434</v>
      </c>
      <c r="B438" s="73" t="n">
        <f aca="false">B437</f>
        <v>0</v>
      </c>
      <c r="C438" s="6" t="s">
        <v>81</v>
      </c>
      <c r="D438" s="8" t="s">
        <v>333</v>
      </c>
      <c r="E438" s="71" t="n">
        <f aca="false">'Norms &amp; Assumptions'!B44</f>
        <v>1.2</v>
      </c>
      <c r="F438" s="63" t="n">
        <f aca="false">IF(B437="",2,IF(B437&gt;=DATE(2026,4,8),4,2))</f>
        <v>2</v>
      </c>
      <c r="G438" s="71" t="n">
        <f aca="false">E438*F438</f>
        <v>2.4</v>
      </c>
      <c r="H438" s="59"/>
      <c r="I438" s="72" t="str">
        <f aca="false">IF(H438="","",H438-G438)</f>
        <v/>
      </c>
      <c r="J438" s="33"/>
    </row>
    <row r="439" customFormat="false" ht="18" hidden="false" customHeight="true" outlineLevel="0" collapsed="false">
      <c r="A439" s="57" t="n">
        <v>435</v>
      </c>
      <c r="B439" s="73" t="n">
        <f aca="false">B437</f>
        <v>0</v>
      </c>
      <c r="C439" s="6" t="s">
        <v>334</v>
      </c>
      <c r="D439" s="8" t="s">
        <v>335</v>
      </c>
      <c r="E439" s="71" t="n">
        <f aca="false">'Norms &amp; Assumptions'!B45</f>
        <v>0.5</v>
      </c>
      <c r="F439" s="63" t="n">
        <f aca="false">IF(B437="",2,IF(B437&gt;=DATE(2026,4,8),4,2))</f>
        <v>2</v>
      </c>
      <c r="G439" s="71" t="n">
        <f aca="false">E439*F439</f>
        <v>1</v>
      </c>
      <c r="H439" s="59"/>
      <c r="I439" s="72" t="str">
        <f aca="false">IF(H439="","",H439-G439)</f>
        <v/>
      </c>
      <c r="J439" s="33"/>
    </row>
    <row r="440" customFormat="false" ht="18" hidden="false" customHeight="true" outlineLevel="0" collapsed="false">
      <c r="A440" s="57" t="n">
        <v>436</v>
      </c>
      <c r="B440" s="73" t="n">
        <f aca="false">B437</f>
        <v>0</v>
      </c>
      <c r="C440" s="6" t="s">
        <v>336</v>
      </c>
      <c r="D440" s="8" t="s">
        <v>337</v>
      </c>
      <c r="E440" s="71" t="n">
        <f aca="false">'Norms &amp; Assumptions'!B46</f>
        <v>0.05</v>
      </c>
      <c r="F440" s="63" t="n">
        <f aca="false">IF(B437="",2,IF(B437&gt;=DATE(2026,4,8),4,2))</f>
        <v>2</v>
      </c>
      <c r="G440" s="71" t="n">
        <f aca="false">E440*F440</f>
        <v>0.1</v>
      </c>
      <c r="H440" s="59"/>
      <c r="I440" s="72" t="str">
        <f aca="false">IF(H440="","",H440-G440)</f>
        <v/>
      </c>
      <c r="J440" s="33"/>
    </row>
    <row r="441" customFormat="false" ht="18" hidden="false" customHeight="true" outlineLevel="0" collapsed="false">
      <c r="A441" s="57" t="n">
        <v>437</v>
      </c>
      <c r="B441" s="73" t="n">
        <f aca="false">B437</f>
        <v>0</v>
      </c>
      <c r="C441" s="6" t="s">
        <v>338</v>
      </c>
      <c r="D441" s="8" t="s">
        <v>339</v>
      </c>
      <c r="E441" s="71" t="n">
        <f aca="false">'Norms &amp; Assumptions'!B47</f>
        <v>0.2</v>
      </c>
      <c r="F441" s="63" t="n">
        <f aca="false">IF(B437="",2,IF(B437&gt;=DATE(2026,4,8),4,2))</f>
        <v>2</v>
      </c>
      <c r="G441" s="71" t="n">
        <f aca="false">E441*F441</f>
        <v>0.4</v>
      </c>
      <c r="H441" s="59"/>
      <c r="I441" s="72" t="str">
        <f aca="false">IF(H441="","",H441-G441)</f>
        <v/>
      </c>
      <c r="J441" s="33"/>
    </row>
    <row r="442" customFormat="false" ht="18" hidden="false" customHeight="true" outlineLevel="0" collapsed="false">
      <c r="A442" s="57" t="n">
        <v>438</v>
      </c>
      <c r="B442" s="73" t="n">
        <f aca="false">B437</f>
        <v>0</v>
      </c>
      <c r="C442" s="6" t="s">
        <v>340</v>
      </c>
      <c r="D442" s="8" t="s">
        <v>341</v>
      </c>
      <c r="E442" s="71" t="n">
        <f aca="false">'Norms &amp; Assumptions'!B48</f>
        <v>0.2</v>
      </c>
      <c r="F442" s="63" t="n">
        <f aca="false">IF(B437="",2,IF(B437&gt;=DATE(2026,4,8),4,2))</f>
        <v>2</v>
      </c>
      <c r="G442" s="71" t="n">
        <f aca="false">E442*F442</f>
        <v>0.4</v>
      </c>
      <c r="H442" s="59"/>
      <c r="I442" s="72" t="str">
        <f aca="false">IF(H442="","",H442-G442)</f>
        <v/>
      </c>
      <c r="J442" s="33"/>
    </row>
    <row r="443" customFormat="false" ht="18" hidden="false" customHeight="true" outlineLevel="0" collapsed="false">
      <c r="A443" s="57" t="n">
        <v>439</v>
      </c>
      <c r="B443" s="73" t="n">
        <f aca="false">B437</f>
        <v>0</v>
      </c>
      <c r="C443" s="6" t="s">
        <v>342</v>
      </c>
      <c r="D443" s="8" t="s">
        <v>343</v>
      </c>
      <c r="E443" s="71" t="n">
        <f aca="false">'Norms &amp; Assumptions'!B49</f>
        <v>0.05</v>
      </c>
      <c r="F443" s="63" t="n">
        <f aca="false">IF(B437="",2,IF(B437&gt;=DATE(2026,4,8),4,2))</f>
        <v>2</v>
      </c>
      <c r="G443" s="71" t="n">
        <f aca="false">E443*F443</f>
        <v>0.1</v>
      </c>
      <c r="H443" s="59"/>
      <c r="I443" s="72" t="str">
        <f aca="false">IF(H443="","",H443-G443)</f>
        <v/>
      </c>
      <c r="J443" s="33"/>
    </row>
    <row r="444" customFormat="false" ht="18" hidden="false" customHeight="true" outlineLevel="0" collapsed="false">
      <c r="A444" s="57" t="n">
        <v>440</v>
      </c>
      <c r="B444" s="73" t="n">
        <f aca="false">B437</f>
        <v>0</v>
      </c>
      <c r="C444" s="6" t="s">
        <v>98</v>
      </c>
      <c r="D444" s="8" t="s">
        <v>344</v>
      </c>
      <c r="E444" s="71" t="n">
        <f aca="false">'Norms &amp; Assumptions'!B50</f>
        <v>0.033</v>
      </c>
      <c r="F444" s="63" t="n">
        <f aca="false">IF(B437="",2,IF(B437&gt;=DATE(2026,4,8),4,2))</f>
        <v>2</v>
      </c>
      <c r="G444" s="71" t="n">
        <f aca="false">E444*F444</f>
        <v>0.066</v>
      </c>
      <c r="H444" s="59"/>
      <c r="I444" s="72" t="str">
        <f aca="false">IF(H444="","",H444-G444)</f>
        <v/>
      </c>
      <c r="J444" s="33"/>
    </row>
    <row r="445" customFormat="false" ht="18" hidden="false" customHeight="true" outlineLevel="0" collapsed="false">
      <c r="A445" s="57" t="n">
        <v>441</v>
      </c>
      <c r="B445" s="64"/>
      <c r="C445" s="6" t="s">
        <v>332</v>
      </c>
      <c r="D445" s="8" t="s">
        <v>333</v>
      </c>
      <c r="E445" s="71" t="n">
        <f aca="false">'Norms &amp; Assumptions'!B43</f>
        <v>2.5</v>
      </c>
      <c r="F445" s="63" t="n">
        <f aca="false">IF(B445="",2,IF(B445&gt;=DATE(2026,4,8),4,2))</f>
        <v>2</v>
      </c>
      <c r="G445" s="71" t="n">
        <f aca="false">E445*F445</f>
        <v>5</v>
      </c>
      <c r="H445" s="59"/>
      <c r="I445" s="72" t="str">
        <f aca="false">IF(H445="","",H445-G445)</f>
        <v/>
      </c>
      <c r="J445" s="33"/>
    </row>
    <row r="446" customFormat="false" ht="18" hidden="false" customHeight="true" outlineLevel="0" collapsed="false">
      <c r="A446" s="57" t="n">
        <v>442</v>
      </c>
      <c r="B446" s="73" t="n">
        <f aca="false">B445</f>
        <v>0</v>
      </c>
      <c r="C446" s="6" t="s">
        <v>81</v>
      </c>
      <c r="D446" s="8" t="s">
        <v>333</v>
      </c>
      <c r="E446" s="71" t="n">
        <f aca="false">'Norms &amp; Assumptions'!B44</f>
        <v>1.2</v>
      </c>
      <c r="F446" s="63" t="n">
        <f aca="false">IF(B445="",2,IF(B445&gt;=DATE(2026,4,8),4,2))</f>
        <v>2</v>
      </c>
      <c r="G446" s="71" t="n">
        <f aca="false">E446*F446</f>
        <v>2.4</v>
      </c>
      <c r="H446" s="59"/>
      <c r="I446" s="72" t="str">
        <f aca="false">IF(H446="","",H446-G446)</f>
        <v/>
      </c>
      <c r="J446" s="33"/>
    </row>
    <row r="447" customFormat="false" ht="18" hidden="false" customHeight="true" outlineLevel="0" collapsed="false">
      <c r="A447" s="57" t="n">
        <v>443</v>
      </c>
      <c r="B447" s="73" t="n">
        <f aca="false">B445</f>
        <v>0</v>
      </c>
      <c r="C447" s="6" t="s">
        <v>334</v>
      </c>
      <c r="D447" s="8" t="s">
        <v>335</v>
      </c>
      <c r="E447" s="71" t="n">
        <f aca="false">'Norms &amp; Assumptions'!B45</f>
        <v>0.5</v>
      </c>
      <c r="F447" s="63" t="n">
        <f aca="false">IF(B445="",2,IF(B445&gt;=DATE(2026,4,8),4,2))</f>
        <v>2</v>
      </c>
      <c r="G447" s="71" t="n">
        <f aca="false">E447*F447</f>
        <v>1</v>
      </c>
      <c r="H447" s="59"/>
      <c r="I447" s="72" t="str">
        <f aca="false">IF(H447="","",H447-G447)</f>
        <v/>
      </c>
      <c r="J447" s="33"/>
    </row>
    <row r="448" customFormat="false" ht="18" hidden="false" customHeight="true" outlineLevel="0" collapsed="false">
      <c r="A448" s="57" t="n">
        <v>444</v>
      </c>
      <c r="B448" s="73" t="n">
        <f aca="false">B445</f>
        <v>0</v>
      </c>
      <c r="C448" s="6" t="s">
        <v>336</v>
      </c>
      <c r="D448" s="8" t="s">
        <v>337</v>
      </c>
      <c r="E448" s="71" t="n">
        <f aca="false">'Norms &amp; Assumptions'!B46</f>
        <v>0.05</v>
      </c>
      <c r="F448" s="63" t="n">
        <f aca="false">IF(B445="",2,IF(B445&gt;=DATE(2026,4,8),4,2))</f>
        <v>2</v>
      </c>
      <c r="G448" s="71" t="n">
        <f aca="false">E448*F448</f>
        <v>0.1</v>
      </c>
      <c r="H448" s="59"/>
      <c r="I448" s="72" t="str">
        <f aca="false">IF(H448="","",H448-G448)</f>
        <v/>
      </c>
      <c r="J448" s="33"/>
    </row>
    <row r="449" customFormat="false" ht="18" hidden="false" customHeight="true" outlineLevel="0" collapsed="false">
      <c r="A449" s="57" t="n">
        <v>445</v>
      </c>
      <c r="B449" s="73" t="n">
        <f aca="false">B445</f>
        <v>0</v>
      </c>
      <c r="C449" s="6" t="s">
        <v>338</v>
      </c>
      <c r="D449" s="8" t="s">
        <v>339</v>
      </c>
      <c r="E449" s="71" t="n">
        <f aca="false">'Norms &amp; Assumptions'!B47</f>
        <v>0.2</v>
      </c>
      <c r="F449" s="63" t="n">
        <f aca="false">IF(B445="",2,IF(B445&gt;=DATE(2026,4,8),4,2))</f>
        <v>2</v>
      </c>
      <c r="G449" s="71" t="n">
        <f aca="false">E449*F449</f>
        <v>0.4</v>
      </c>
      <c r="H449" s="59"/>
      <c r="I449" s="72" t="str">
        <f aca="false">IF(H449="","",H449-G449)</f>
        <v/>
      </c>
      <c r="J449" s="33"/>
    </row>
    <row r="450" customFormat="false" ht="18" hidden="false" customHeight="true" outlineLevel="0" collapsed="false">
      <c r="A450" s="57" t="n">
        <v>446</v>
      </c>
      <c r="B450" s="73" t="n">
        <f aca="false">B445</f>
        <v>0</v>
      </c>
      <c r="C450" s="6" t="s">
        <v>340</v>
      </c>
      <c r="D450" s="8" t="s">
        <v>341</v>
      </c>
      <c r="E450" s="71" t="n">
        <f aca="false">'Norms &amp; Assumptions'!B48</f>
        <v>0.2</v>
      </c>
      <c r="F450" s="63" t="n">
        <f aca="false">IF(B445="",2,IF(B445&gt;=DATE(2026,4,8),4,2))</f>
        <v>2</v>
      </c>
      <c r="G450" s="71" t="n">
        <f aca="false">E450*F450</f>
        <v>0.4</v>
      </c>
      <c r="H450" s="59"/>
      <c r="I450" s="72" t="str">
        <f aca="false">IF(H450="","",H450-G450)</f>
        <v/>
      </c>
      <c r="J450" s="33"/>
    </row>
    <row r="451" customFormat="false" ht="18" hidden="false" customHeight="true" outlineLevel="0" collapsed="false">
      <c r="A451" s="57" t="n">
        <v>447</v>
      </c>
      <c r="B451" s="73" t="n">
        <f aca="false">B445</f>
        <v>0</v>
      </c>
      <c r="C451" s="6" t="s">
        <v>342</v>
      </c>
      <c r="D451" s="8" t="s">
        <v>343</v>
      </c>
      <c r="E451" s="71" t="n">
        <f aca="false">'Norms &amp; Assumptions'!B49</f>
        <v>0.05</v>
      </c>
      <c r="F451" s="63" t="n">
        <f aca="false">IF(B445="",2,IF(B445&gt;=DATE(2026,4,8),4,2))</f>
        <v>2</v>
      </c>
      <c r="G451" s="71" t="n">
        <f aca="false">E451*F451</f>
        <v>0.1</v>
      </c>
      <c r="H451" s="59"/>
      <c r="I451" s="72" t="str">
        <f aca="false">IF(H451="","",H451-G451)</f>
        <v/>
      </c>
      <c r="J451" s="33"/>
    </row>
    <row r="452" customFormat="false" ht="18" hidden="false" customHeight="true" outlineLevel="0" collapsed="false">
      <c r="A452" s="57" t="n">
        <v>448</v>
      </c>
      <c r="B452" s="73" t="n">
        <f aca="false">B445</f>
        <v>0</v>
      </c>
      <c r="C452" s="6" t="s">
        <v>98</v>
      </c>
      <c r="D452" s="8" t="s">
        <v>344</v>
      </c>
      <c r="E452" s="71" t="n">
        <f aca="false">'Norms &amp; Assumptions'!B50</f>
        <v>0.033</v>
      </c>
      <c r="F452" s="63" t="n">
        <f aca="false">IF(B445="",2,IF(B445&gt;=DATE(2026,4,8),4,2))</f>
        <v>2</v>
      </c>
      <c r="G452" s="71" t="n">
        <f aca="false">E452*F452</f>
        <v>0.066</v>
      </c>
      <c r="H452" s="59"/>
      <c r="I452" s="72" t="str">
        <f aca="false">IF(H452="","",H452-G452)</f>
        <v/>
      </c>
      <c r="J452" s="33"/>
    </row>
    <row r="453" customFormat="false" ht="18" hidden="false" customHeight="true" outlineLevel="0" collapsed="false">
      <c r="A453" s="57" t="n">
        <v>449</v>
      </c>
      <c r="B453" s="64"/>
      <c r="C453" s="6" t="s">
        <v>332</v>
      </c>
      <c r="D453" s="8" t="s">
        <v>333</v>
      </c>
      <c r="E453" s="71" t="n">
        <f aca="false">'Norms &amp; Assumptions'!B43</f>
        <v>2.5</v>
      </c>
      <c r="F453" s="63" t="n">
        <f aca="false">IF(B453="",2,IF(B453&gt;=DATE(2026,4,8),4,2))</f>
        <v>2</v>
      </c>
      <c r="G453" s="71" t="n">
        <f aca="false">E453*F453</f>
        <v>5</v>
      </c>
      <c r="H453" s="59"/>
      <c r="I453" s="72" t="str">
        <f aca="false">IF(H453="","",H453-G453)</f>
        <v/>
      </c>
      <c r="J453" s="33"/>
    </row>
    <row r="454" customFormat="false" ht="18" hidden="false" customHeight="true" outlineLevel="0" collapsed="false">
      <c r="A454" s="57" t="n">
        <v>450</v>
      </c>
      <c r="B454" s="73" t="n">
        <f aca="false">B453</f>
        <v>0</v>
      </c>
      <c r="C454" s="6" t="s">
        <v>81</v>
      </c>
      <c r="D454" s="8" t="s">
        <v>333</v>
      </c>
      <c r="E454" s="71" t="n">
        <f aca="false">'Norms &amp; Assumptions'!B44</f>
        <v>1.2</v>
      </c>
      <c r="F454" s="63" t="n">
        <f aca="false">IF(B453="",2,IF(B453&gt;=DATE(2026,4,8),4,2))</f>
        <v>2</v>
      </c>
      <c r="G454" s="71" t="n">
        <f aca="false">E454*F454</f>
        <v>2.4</v>
      </c>
      <c r="H454" s="59"/>
      <c r="I454" s="72" t="str">
        <f aca="false">IF(H454="","",H454-G454)</f>
        <v/>
      </c>
      <c r="J454" s="33"/>
    </row>
    <row r="455" customFormat="false" ht="18" hidden="false" customHeight="true" outlineLevel="0" collapsed="false">
      <c r="A455" s="57" t="n">
        <v>451</v>
      </c>
      <c r="B455" s="73" t="n">
        <f aca="false">B453</f>
        <v>0</v>
      </c>
      <c r="C455" s="6" t="s">
        <v>334</v>
      </c>
      <c r="D455" s="8" t="s">
        <v>335</v>
      </c>
      <c r="E455" s="71" t="n">
        <f aca="false">'Norms &amp; Assumptions'!B45</f>
        <v>0.5</v>
      </c>
      <c r="F455" s="63" t="n">
        <f aca="false">IF(B453="",2,IF(B453&gt;=DATE(2026,4,8),4,2))</f>
        <v>2</v>
      </c>
      <c r="G455" s="71" t="n">
        <f aca="false">E455*F455</f>
        <v>1</v>
      </c>
      <c r="H455" s="59"/>
      <c r="I455" s="72" t="str">
        <f aca="false">IF(H455="","",H455-G455)</f>
        <v/>
      </c>
      <c r="J455" s="33"/>
    </row>
    <row r="456" customFormat="false" ht="18" hidden="false" customHeight="true" outlineLevel="0" collapsed="false">
      <c r="A456" s="57" t="n">
        <v>452</v>
      </c>
      <c r="B456" s="73" t="n">
        <f aca="false">B453</f>
        <v>0</v>
      </c>
      <c r="C456" s="6" t="s">
        <v>336</v>
      </c>
      <c r="D456" s="8" t="s">
        <v>337</v>
      </c>
      <c r="E456" s="71" t="n">
        <f aca="false">'Norms &amp; Assumptions'!B46</f>
        <v>0.05</v>
      </c>
      <c r="F456" s="63" t="n">
        <f aca="false">IF(B453="",2,IF(B453&gt;=DATE(2026,4,8),4,2))</f>
        <v>2</v>
      </c>
      <c r="G456" s="71" t="n">
        <f aca="false">E456*F456</f>
        <v>0.1</v>
      </c>
      <c r="H456" s="59"/>
      <c r="I456" s="72" t="str">
        <f aca="false">IF(H456="","",H456-G456)</f>
        <v/>
      </c>
      <c r="J456" s="33"/>
    </row>
    <row r="457" customFormat="false" ht="18" hidden="false" customHeight="true" outlineLevel="0" collapsed="false">
      <c r="A457" s="57" t="n">
        <v>453</v>
      </c>
      <c r="B457" s="73" t="n">
        <f aca="false">B453</f>
        <v>0</v>
      </c>
      <c r="C457" s="6" t="s">
        <v>338</v>
      </c>
      <c r="D457" s="8" t="s">
        <v>339</v>
      </c>
      <c r="E457" s="71" t="n">
        <f aca="false">'Norms &amp; Assumptions'!B47</f>
        <v>0.2</v>
      </c>
      <c r="F457" s="63" t="n">
        <f aca="false">IF(B453="",2,IF(B453&gt;=DATE(2026,4,8),4,2))</f>
        <v>2</v>
      </c>
      <c r="G457" s="71" t="n">
        <f aca="false">E457*F457</f>
        <v>0.4</v>
      </c>
      <c r="H457" s="59"/>
      <c r="I457" s="72" t="str">
        <f aca="false">IF(H457="","",H457-G457)</f>
        <v/>
      </c>
      <c r="J457" s="33"/>
    </row>
    <row r="458" customFormat="false" ht="18" hidden="false" customHeight="true" outlineLevel="0" collapsed="false">
      <c r="A458" s="57" t="n">
        <v>454</v>
      </c>
      <c r="B458" s="73" t="n">
        <f aca="false">B453</f>
        <v>0</v>
      </c>
      <c r="C458" s="6" t="s">
        <v>340</v>
      </c>
      <c r="D458" s="8" t="s">
        <v>341</v>
      </c>
      <c r="E458" s="71" t="n">
        <f aca="false">'Norms &amp; Assumptions'!B48</f>
        <v>0.2</v>
      </c>
      <c r="F458" s="63" t="n">
        <f aca="false">IF(B453="",2,IF(B453&gt;=DATE(2026,4,8),4,2))</f>
        <v>2</v>
      </c>
      <c r="G458" s="71" t="n">
        <f aca="false">E458*F458</f>
        <v>0.4</v>
      </c>
      <c r="H458" s="59"/>
      <c r="I458" s="72" t="str">
        <f aca="false">IF(H458="","",H458-G458)</f>
        <v/>
      </c>
      <c r="J458" s="33"/>
    </row>
    <row r="459" customFormat="false" ht="18" hidden="false" customHeight="true" outlineLevel="0" collapsed="false">
      <c r="A459" s="57" t="n">
        <v>455</v>
      </c>
      <c r="B459" s="73" t="n">
        <f aca="false">B453</f>
        <v>0</v>
      </c>
      <c r="C459" s="6" t="s">
        <v>342</v>
      </c>
      <c r="D459" s="8" t="s">
        <v>343</v>
      </c>
      <c r="E459" s="71" t="n">
        <f aca="false">'Norms &amp; Assumptions'!B49</f>
        <v>0.05</v>
      </c>
      <c r="F459" s="63" t="n">
        <f aca="false">IF(B453="",2,IF(B453&gt;=DATE(2026,4,8),4,2))</f>
        <v>2</v>
      </c>
      <c r="G459" s="71" t="n">
        <f aca="false">E459*F459</f>
        <v>0.1</v>
      </c>
      <c r="H459" s="59"/>
      <c r="I459" s="72" t="str">
        <f aca="false">IF(H459="","",H459-G459)</f>
        <v/>
      </c>
      <c r="J459" s="33"/>
    </row>
    <row r="460" customFormat="false" ht="18" hidden="false" customHeight="true" outlineLevel="0" collapsed="false">
      <c r="A460" s="57" t="n">
        <v>456</v>
      </c>
      <c r="B460" s="73" t="n">
        <f aca="false">B453</f>
        <v>0</v>
      </c>
      <c r="C460" s="6" t="s">
        <v>98</v>
      </c>
      <c r="D460" s="8" t="s">
        <v>344</v>
      </c>
      <c r="E460" s="71" t="n">
        <f aca="false">'Norms &amp; Assumptions'!B50</f>
        <v>0.033</v>
      </c>
      <c r="F460" s="63" t="n">
        <f aca="false">IF(B453="",2,IF(B453&gt;=DATE(2026,4,8),4,2))</f>
        <v>2</v>
      </c>
      <c r="G460" s="71" t="n">
        <f aca="false">E460*F460</f>
        <v>0.066</v>
      </c>
      <c r="H460" s="59"/>
      <c r="I460" s="72" t="str">
        <f aca="false">IF(H460="","",H460-G460)</f>
        <v/>
      </c>
      <c r="J460" s="33"/>
    </row>
    <row r="461" customFormat="false" ht="18" hidden="false" customHeight="true" outlineLevel="0" collapsed="false">
      <c r="A461" s="57" t="n">
        <v>457</v>
      </c>
      <c r="B461" s="64"/>
      <c r="C461" s="6" t="s">
        <v>332</v>
      </c>
      <c r="D461" s="8" t="s">
        <v>333</v>
      </c>
      <c r="E461" s="71" t="n">
        <f aca="false">'Norms &amp; Assumptions'!B43</f>
        <v>2.5</v>
      </c>
      <c r="F461" s="63" t="n">
        <f aca="false">IF(B461="",2,IF(B461&gt;=DATE(2026,4,8),4,2))</f>
        <v>2</v>
      </c>
      <c r="G461" s="71" t="n">
        <f aca="false">E461*F461</f>
        <v>5</v>
      </c>
      <c r="H461" s="59"/>
      <c r="I461" s="72" t="str">
        <f aca="false">IF(H461="","",H461-G461)</f>
        <v/>
      </c>
      <c r="J461" s="33"/>
    </row>
    <row r="462" customFormat="false" ht="18" hidden="false" customHeight="true" outlineLevel="0" collapsed="false">
      <c r="A462" s="57" t="n">
        <v>458</v>
      </c>
      <c r="B462" s="73" t="n">
        <f aca="false">B461</f>
        <v>0</v>
      </c>
      <c r="C462" s="6" t="s">
        <v>81</v>
      </c>
      <c r="D462" s="8" t="s">
        <v>333</v>
      </c>
      <c r="E462" s="71" t="n">
        <f aca="false">'Norms &amp; Assumptions'!B44</f>
        <v>1.2</v>
      </c>
      <c r="F462" s="63" t="n">
        <f aca="false">IF(B461="",2,IF(B461&gt;=DATE(2026,4,8),4,2))</f>
        <v>2</v>
      </c>
      <c r="G462" s="71" t="n">
        <f aca="false">E462*F462</f>
        <v>2.4</v>
      </c>
      <c r="H462" s="59"/>
      <c r="I462" s="72" t="str">
        <f aca="false">IF(H462="","",H462-G462)</f>
        <v/>
      </c>
      <c r="J462" s="33"/>
    </row>
    <row r="463" customFormat="false" ht="18" hidden="false" customHeight="true" outlineLevel="0" collapsed="false">
      <c r="A463" s="57" t="n">
        <v>459</v>
      </c>
      <c r="B463" s="73" t="n">
        <f aca="false">B461</f>
        <v>0</v>
      </c>
      <c r="C463" s="6" t="s">
        <v>334</v>
      </c>
      <c r="D463" s="8" t="s">
        <v>335</v>
      </c>
      <c r="E463" s="71" t="n">
        <f aca="false">'Norms &amp; Assumptions'!B45</f>
        <v>0.5</v>
      </c>
      <c r="F463" s="63" t="n">
        <f aca="false">IF(B461="",2,IF(B461&gt;=DATE(2026,4,8),4,2))</f>
        <v>2</v>
      </c>
      <c r="G463" s="71" t="n">
        <f aca="false">E463*F463</f>
        <v>1</v>
      </c>
      <c r="H463" s="59"/>
      <c r="I463" s="72" t="str">
        <f aca="false">IF(H463="","",H463-G463)</f>
        <v/>
      </c>
      <c r="J463" s="33"/>
    </row>
    <row r="464" customFormat="false" ht="18" hidden="false" customHeight="true" outlineLevel="0" collapsed="false">
      <c r="A464" s="57" t="n">
        <v>460</v>
      </c>
      <c r="B464" s="73" t="n">
        <f aca="false">B461</f>
        <v>0</v>
      </c>
      <c r="C464" s="6" t="s">
        <v>336</v>
      </c>
      <c r="D464" s="8" t="s">
        <v>337</v>
      </c>
      <c r="E464" s="71" t="n">
        <f aca="false">'Norms &amp; Assumptions'!B46</f>
        <v>0.05</v>
      </c>
      <c r="F464" s="63" t="n">
        <f aca="false">IF(B461="",2,IF(B461&gt;=DATE(2026,4,8),4,2))</f>
        <v>2</v>
      </c>
      <c r="G464" s="71" t="n">
        <f aca="false">E464*F464</f>
        <v>0.1</v>
      </c>
      <c r="H464" s="59"/>
      <c r="I464" s="72" t="str">
        <f aca="false">IF(H464="","",H464-G464)</f>
        <v/>
      </c>
      <c r="J464" s="33"/>
    </row>
    <row r="465" customFormat="false" ht="18" hidden="false" customHeight="true" outlineLevel="0" collapsed="false">
      <c r="A465" s="57" t="n">
        <v>461</v>
      </c>
      <c r="B465" s="73" t="n">
        <f aca="false">B461</f>
        <v>0</v>
      </c>
      <c r="C465" s="6" t="s">
        <v>338</v>
      </c>
      <c r="D465" s="8" t="s">
        <v>339</v>
      </c>
      <c r="E465" s="71" t="n">
        <f aca="false">'Norms &amp; Assumptions'!B47</f>
        <v>0.2</v>
      </c>
      <c r="F465" s="63" t="n">
        <f aca="false">IF(B461="",2,IF(B461&gt;=DATE(2026,4,8),4,2))</f>
        <v>2</v>
      </c>
      <c r="G465" s="71" t="n">
        <f aca="false">E465*F465</f>
        <v>0.4</v>
      </c>
      <c r="H465" s="59"/>
      <c r="I465" s="72" t="str">
        <f aca="false">IF(H465="","",H465-G465)</f>
        <v/>
      </c>
      <c r="J465" s="33"/>
    </row>
    <row r="466" customFormat="false" ht="18" hidden="false" customHeight="true" outlineLevel="0" collapsed="false">
      <c r="A466" s="57" t="n">
        <v>462</v>
      </c>
      <c r="B466" s="73" t="n">
        <f aca="false">B461</f>
        <v>0</v>
      </c>
      <c r="C466" s="6" t="s">
        <v>340</v>
      </c>
      <c r="D466" s="8" t="s">
        <v>341</v>
      </c>
      <c r="E466" s="71" t="n">
        <f aca="false">'Norms &amp; Assumptions'!B48</f>
        <v>0.2</v>
      </c>
      <c r="F466" s="63" t="n">
        <f aca="false">IF(B461="",2,IF(B461&gt;=DATE(2026,4,8),4,2))</f>
        <v>2</v>
      </c>
      <c r="G466" s="71" t="n">
        <f aca="false">E466*F466</f>
        <v>0.4</v>
      </c>
      <c r="H466" s="59"/>
      <c r="I466" s="72" t="str">
        <f aca="false">IF(H466="","",H466-G466)</f>
        <v/>
      </c>
      <c r="J466" s="33"/>
    </row>
    <row r="467" customFormat="false" ht="18" hidden="false" customHeight="true" outlineLevel="0" collapsed="false">
      <c r="A467" s="57" t="n">
        <v>463</v>
      </c>
      <c r="B467" s="73" t="n">
        <f aca="false">B461</f>
        <v>0</v>
      </c>
      <c r="C467" s="6" t="s">
        <v>342</v>
      </c>
      <c r="D467" s="8" t="s">
        <v>343</v>
      </c>
      <c r="E467" s="71" t="n">
        <f aca="false">'Norms &amp; Assumptions'!B49</f>
        <v>0.05</v>
      </c>
      <c r="F467" s="63" t="n">
        <f aca="false">IF(B461="",2,IF(B461&gt;=DATE(2026,4,8),4,2))</f>
        <v>2</v>
      </c>
      <c r="G467" s="71" t="n">
        <f aca="false">E467*F467</f>
        <v>0.1</v>
      </c>
      <c r="H467" s="59"/>
      <c r="I467" s="72" t="str">
        <f aca="false">IF(H467="","",H467-G467)</f>
        <v/>
      </c>
      <c r="J467" s="33"/>
    </row>
    <row r="468" customFormat="false" ht="18" hidden="false" customHeight="true" outlineLevel="0" collapsed="false">
      <c r="A468" s="57" t="n">
        <v>464</v>
      </c>
      <c r="B468" s="73" t="n">
        <f aca="false">B461</f>
        <v>0</v>
      </c>
      <c r="C468" s="6" t="s">
        <v>98</v>
      </c>
      <c r="D468" s="8" t="s">
        <v>344</v>
      </c>
      <c r="E468" s="71" t="n">
        <f aca="false">'Norms &amp; Assumptions'!B50</f>
        <v>0.033</v>
      </c>
      <c r="F468" s="63" t="n">
        <f aca="false">IF(B461="",2,IF(B461&gt;=DATE(2026,4,8),4,2))</f>
        <v>2</v>
      </c>
      <c r="G468" s="71" t="n">
        <f aca="false">E468*F468</f>
        <v>0.066</v>
      </c>
      <c r="H468" s="59"/>
      <c r="I468" s="72" t="str">
        <f aca="false">IF(H468="","",H468-G468)</f>
        <v/>
      </c>
      <c r="J468" s="33"/>
    </row>
    <row r="469" customFormat="false" ht="18" hidden="false" customHeight="true" outlineLevel="0" collapsed="false">
      <c r="A469" s="57" t="n">
        <v>465</v>
      </c>
      <c r="B469" s="64"/>
      <c r="C469" s="6" t="s">
        <v>332</v>
      </c>
      <c r="D469" s="8" t="s">
        <v>333</v>
      </c>
      <c r="E469" s="71" t="n">
        <f aca="false">'Norms &amp; Assumptions'!B43</f>
        <v>2.5</v>
      </c>
      <c r="F469" s="63" t="n">
        <f aca="false">IF(B469="",2,IF(B469&gt;=DATE(2026,4,8),4,2))</f>
        <v>2</v>
      </c>
      <c r="G469" s="71" t="n">
        <f aca="false">E469*F469</f>
        <v>5</v>
      </c>
      <c r="H469" s="59"/>
      <c r="I469" s="72" t="str">
        <f aca="false">IF(H469="","",H469-G469)</f>
        <v/>
      </c>
      <c r="J469" s="33"/>
    </row>
    <row r="470" customFormat="false" ht="18" hidden="false" customHeight="true" outlineLevel="0" collapsed="false">
      <c r="A470" s="57" t="n">
        <v>466</v>
      </c>
      <c r="B470" s="73" t="n">
        <f aca="false">B469</f>
        <v>0</v>
      </c>
      <c r="C470" s="6" t="s">
        <v>81</v>
      </c>
      <c r="D470" s="8" t="s">
        <v>333</v>
      </c>
      <c r="E470" s="71" t="n">
        <f aca="false">'Norms &amp; Assumptions'!B44</f>
        <v>1.2</v>
      </c>
      <c r="F470" s="63" t="n">
        <f aca="false">IF(B469="",2,IF(B469&gt;=DATE(2026,4,8),4,2))</f>
        <v>2</v>
      </c>
      <c r="G470" s="71" t="n">
        <f aca="false">E470*F470</f>
        <v>2.4</v>
      </c>
      <c r="H470" s="59"/>
      <c r="I470" s="72" t="str">
        <f aca="false">IF(H470="","",H470-G470)</f>
        <v/>
      </c>
      <c r="J470" s="33"/>
    </row>
    <row r="471" customFormat="false" ht="18" hidden="false" customHeight="true" outlineLevel="0" collapsed="false">
      <c r="A471" s="57" t="n">
        <v>467</v>
      </c>
      <c r="B471" s="73" t="n">
        <f aca="false">B469</f>
        <v>0</v>
      </c>
      <c r="C471" s="6" t="s">
        <v>334</v>
      </c>
      <c r="D471" s="8" t="s">
        <v>335</v>
      </c>
      <c r="E471" s="71" t="n">
        <f aca="false">'Norms &amp; Assumptions'!B45</f>
        <v>0.5</v>
      </c>
      <c r="F471" s="63" t="n">
        <f aca="false">IF(B469="",2,IF(B469&gt;=DATE(2026,4,8),4,2))</f>
        <v>2</v>
      </c>
      <c r="G471" s="71" t="n">
        <f aca="false">E471*F471</f>
        <v>1</v>
      </c>
      <c r="H471" s="59"/>
      <c r="I471" s="72" t="str">
        <f aca="false">IF(H471="","",H471-G471)</f>
        <v/>
      </c>
      <c r="J471" s="33"/>
    </row>
    <row r="472" customFormat="false" ht="18" hidden="false" customHeight="true" outlineLevel="0" collapsed="false">
      <c r="A472" s="57" t="n">
        <v>468</v>
      </c>
      <c r="B472" s="73" t="n">
        <f aca="false">B469</f>
        <v>0</v>
      </c>
      <c r="C472" s="6" t="s">
        <v>336</v>
      </c>
      <c r="D472" s="8" t="s">
        <v>337</v>
      </c>
      <c r="E472" s="71" t="n">
        <f aca="false">'Norms &amp; Assumptions'!B46</f>
        <v>0.05</v>
      </c>
      <c r="F472" s="63" t="n">
        <f aca="false">IF(B469="",2,IF(B469&gt;=DATE(2026,4,8),4,2))</f>
        <v>2</v>
      </c>
      <c r="G472" s="71" t="n">
        <f aca="false">E472*F472</f>
        <v>0.1</v>
      </c>
      <c r="H472" s="59"/>
      <c r="I472" s="72" t="str">
        <f aca="false">IF(H472="","",H472-G472)</f>
        <v/>
      </c>
      <c r="J472" s="33"/>
    </row>
    <row r="473" customFormat="false" ht="18" hidden="false" customHeight="true" outlineLevel="0" collapsed="false">
      <c r="A473" s="57" t="n">
        <v>469</v>
      </c>
      <c r="B473" s="73" t="n">
        <f aca="false">B469</f>
        <v>0</v>
      </c>
      <c r="C473" s="6" t="s">
        <v>338</v>
      </c>
      <c r="D473" s="8" t="s">
        <v>339</v>
      </c>
      <c r="E473" s="71" t="n">
        <f aca="false">'Norms &amp; Assumptions'!B47</f>
        <v>0.2</v>
      </c>
      <c r="F473" s="63" t="n">
        <f aca="false">IF(B469="",2,IF(B469&gt;=DATE(2026,4,8),4,2))</f>
        <v>2</v>
      </c>
      <c r="G473" s="71" t="n">
        <f aca="false">E473*F473</f>
        <v>0.4</v>
      </c>
      <c r="H473" s="59"/>
      <c r="I473" s="72" t="str">
        <f aca="false">IF(H473="","",H473-G473)</f>
        <v/>
      </c>
      <c r="J473" s="33"/>
    </row>
    <row r="474" customFormat="false" ht="18" hidden="false" customHeight="true" outlineLevel="0" collapsed="false">
      <c r="A474" s="57" t="n">
        <v>470</v>
      </c>
      <c r="B474" s="73" t="n">
        <f aca="false">B469</f>
        <v>0</v>
      </c>
      <c r="C474" s="6" t="s">
        <v>340</v>
      </c>
      <c r="D474" s="8" t="s">
        <v>341</v>
      </c>
      <c r="E474" s="71" t="n">
        <f aca="false">'Norms &amp; Assumptions'!B48</f>
        <v>0.2</v>
      </c>
      <c r="F474" s="63" t="n">
        <f aca="false">IF(B469="",2,IF(B469&gt;=DATE(2026,4,8),4,2))</f>
        <v>2</v>
      </c>
      <c r="G474" s="71" t="n">
        <f aca="false">E474*F474</f>
        <v>0.4</v>
      </c>
      <c r="H474" s="59"/>
      <c r="I474" s="72" t="str">
        <f aca="false">IF(H474="","",H474-G474)</f>
        <v/>
      </c>
      <c r="J474" s="33"/>
    </row>
    <row r="475" customFormat="false" ht="18" hidden="false" customHeight="true" outlineLevel="0" collapsed="false">
      <c r="A475" s="57" t="n">
        <v>471</v>
      </c>
      <c r="B475" s="73" t="n">
        <f aca="false">B469</f>
        <v>0</v>
      </c>
      <c r="C475" s="6" t="s">
        <v>342</v>
      </c>
      <c r="D475" s="8" t="s">
        <v>343</v>
      </c>
      <c r="E475" s="71" t="n">
        <f aca="false">'Norms &amp; Assumptions'!B49</f>
        <v>0.05</v>
      </c>
      <c r="F475" s="63" t="n">
        <f aca="false">IF(B469="",2,IF(B469&gt;=DATE(2026,4,8),4,2))</f>
        <v>2</v>
      </c>
      <c r="G475" s="71" t="n">
        <f aca="false">E475*F475</f>
        <v>0.1</v>
      </c>
      <c r="H475" s="59"/>
      <c r="I475" s="72" t="str">
        <f aca="false">IF(H475="","",H475-G475)</f>
        <v/>
      </c>
      <c r="J475" s="33"/>
    </row>
    <row r="476" customFormat="false" ht="18" hidden="false" customHeight="true" outlineLevel="0" collapsed="false">
      <c r="A476" s="57" t="n">
        <v>472</v>
      </c>
      <c r="B476" s="73" t="n">
        <f aca="false">B469</f>
        <v>0</v>
      </c>
      <c r="C476" s="6" t="s">
        <v>98</v>
      </c>
      <c r="D476" s="8" t="s">
        <v>344</v>
      </c>
      <c r="E476" s="71" t="n">
        <f aca="false">'Norms &amp; Assumptions'!B50</f>
        <v>0.033</v>
      </c>
      <c r="F476" s="63" t="n">
        <f aca="false">IF(B469="",2,IF(B469&gt;=DATE(2026,4,8),4,2))</f>
        <v>2</v>
      </c>
      <c r="G476" s="71" t="n">
        <f aca="false">E476*F476</f>
        <v>0.066</v>
      </c>
      <c r="H476" s="59"/>
      <c r="I476" s="72" t="str">
        <f aca="false">IF(H476="","",H476-G476)</f>
        <v/>
      </c>
      <c r="J476" s="33"/>
    </row>
    <row r="477" customFormat="false" ht="18" hidden="false" customHeight="true" outlineLevel="0" collapsed="false">
      <c r="A477" s="57" t="n">
        <v>473</v>
      </c>
      <c r="B477" s="64"/>
      <c r="C477" s="6" t="s">
        <v>332</v>
      </c>
      <c r="D477" s="8" t="s">
        <v>333</v>
      </c>
      <c r="E477" s="71" t="n">
        <f aca="false">'Norms &amp; Assumptions'!B43</f>
        <v>2.5</v>
      </c>
      <c r="F477" s="63" t="n">
        <f aca="false">IF(B477="",2,IF(B477&gt;=DATE(2026,4,8),4,2))</f>
        <v>2</v>
      </c>
      <c r="G477" s="71" t="n">
        <f aca="false">E477*F477</f>
        <v>5</v>
      </c>
      <c r="H477" s="59"/>
      <c r="I477" s="72" t="str">
        <f aca="false">IF(H477="","",H477-G477)</f>
        <v/>
      </c>
      <c r="J477" s="33"/>
    </row>
    <row r="478" customFormat="false" ht="18" hidden="false" customHeight="true" outlineLevel="0" collapsed="false">
      <c r="A478" s="57" t="n">
        <v>474</v>
      </c>
      <c r="B478" s="73" t="n">
        <f aca="false">B477</f>
        <v>0</v>
      </c>
      <c r="C478" s="6" t="s">
        <v>81</v>
      </c>
      <c r="D478" s="8" t="s">
        <v>333</v>
      </c>
      <c r="E478" s="71" t="n">
        <f aca="false">'Norms &amp; Assumptions'!B44</f>
        <v>1.2</v>
      </c>
      <c r="F478" s="63" t="n">
        <f aca="false">IF(B477="",2,IF(B477&gt;=DATE(2026,4,8),4,2))</f>
        <v>2</v>
      </c>
      <c r="G478" s="71" t="n">
        <f aca="false">E478*F478</f>
        <v>2.4</v>
      </c>
      <c r="H478" s="59"/>
      <c r="I478" s="72" t="str">
        <f aca="false">IF(H478="","",H478-G478)</f>
        <v/>
      </c>
      <c r="J478" s="33"/>
    </row>
    <row r="479" customFormat="false" ht="18" hidden="false" customHeight="true" outlineLevel="0" collapsed="false">
      <c r="A479" s="57" t="n">
        <v>475</v>
      </c>
      <c r="B479" s="73" t="n">
        <f aca="false">B477</f>
        <v>0</v>
      </c>
      <c r="C479" s="6" t="s">
        <v>334</v>
      </c>
      <c r="D479" s="8" t="s">
        <v>335</v>
      </c>
      <c r="E479" s="71" t="n">
        <f aca="false">'Norms &amp; Assumptions'!B45</f>
        <v>0.5</v>
      </c>
      <c r="F479" s="63" t="n">
        <f aca="false">IF(B477="",2,IF(B477&gt;=DATE(2026,4,8),4,2))</f>
        <v>2</v>
      </c>
      <c r="G479" s="71" t="n">
        <f aca="false">E479*F479</f>
        <v>1</v>
      </c>
      <c r="H479" s="59"/>
      <c r="I479" s="72" t="str">
        <f aca="false">IF(H479="","",H479-G479)</f>
        <v/>
      </c>
      <c r="J479" s="33"/>
    </row>
    <row r="480" customFormat="false" ht="18" hidden="false" customHeight="true" outlineLevel="0" collapsed="false">
      <c r="A480" s="57" t="n">
        <v>476</v>
      </c>
      <c r="B480" s="73" t="n">
        <f aca="false">B477</f>
        <v>0</v>
      </c>
      <c r="C480" s="6" t="s">
        <v>336</v>
      </c>
      <c r="D480" s="8" t="s">
        <v>337</v>
      </c>
      <c r="E480" s="71" t="n">
        <f aca="false">'Norms &amp; Assumptions'!B46</f>
        <v>0.05</v>
      </c>
      <c r="F480" s="63" t="n">
        <f aca="false">IF(B477="",2,IF(B477&gt;=DATE(2026,4,8),4,2))</f>
        <v>2</v>
      </c>
      <c r="G480" s="71" t="n">
        <f aca="false">E480*F480</f>
        <v>0.1</v>
      </c>
      <c r="H480" s="59"/>
      <c r="I480" s="72" t="str">
        <f aca="false">IF(H480="","",H480-G480)</f>
        <v/>
      </c>
      <c r="J480" s="33"/>
    </row>
    <row r="481" customFormat="false" ht="18" hidden="false" customHeight="true" outlineLevel="0" collapsed="false">
      <c r="A481" s="57" t="n">
        <v>477</v>
      </c>
      <c r="B481" s="73" t="n">
        <f aca="false">B477</f>
        <v>0</v>
      </c>
      <c r="C481" s="6" t="s">
        <v>338</v>
      </c>
      <c r="D481" s="8" t="s">
        <v>339</v>
      </c>
      <c r="E481" s="71" t="n">
        <f aca="false">'Norms &amp; Assumptions'!B47</f>
        <v>0.2</v>
      </c>
      <c r="F481" s="63" t="n">
        <f aca="false">IF(B477="",2,IF(B477&gt;=DATE(2026,4,8),4,2))</f>
        <v>2</v>
      </c>
      <c r="G481" s="71" t="n">
        <f aca="false">E481*F481</f>
        <v>0.4</v>
      </c>
      <c r="H481" s="59"/>
      <c r="I481" s="72" t="str">
        <f aca="false">IF(H481="","",H481-G481)</f>
        <v/>
      </c>
      <c r="J481" s="33"/>
    </row>
    <row r="482" customFormat="false" ht="18" hidden="false" customHeight="true" outlineLevel="0" collapsed="false">
      <c r="A482" s="57" t="n">
        <v>478</v>
      </c>
      <c r="B482" s="73" t="n">
        <f aca="false">B477</f>
        <v>0</v>
      </c>
      <c r="C482" s="6" t="s">
        <v>340</v>
      </c>
      <c r="D482" s="8" t="s">
        <v>341</v>
      </c>
      <c r="E482" s="71" t="n">
        <f aca="false">'Norms &amp; Assumptions'!B48</f>
        <v>0.2</v>
      </c>
      <c r="F482" s="63" t="n">
        <f aca="false">IF(B477="",2,IF(B477&gt;=DATE(2026,4,8),4,2))</f>
        <v>2</v>
      </c>
      <c r="G482" s="71" t="n">
        <f aca="false">E482*F482</f>
        <v>0.4</v>
      </c>
      <c r="H482" s="59"/>
      <c r="I482" s="72" t="str">
        <f aca="false">IF(H482="","",H482-G482)</f>
        <v/>
      </c>
      <c r="J482" s="33"/>
    </row>
    <row r="483" customFormat="false" ht="18" hidden="false" customHeight="true" outlineLevel="0" collapsed="false">
      <c r="A483" s="57" t="n">
        <v>479</v>
      </c>
      <c r="B483" s="73" t="n">
        <f aca="false">B477</f>
        <v>0</v>
      </c>
      <c r="C483" s="6" t="s">
        <v>342</v>
      </c>
      <c r="D483" s="8" t="s">
        <v>343</v>
      </c>
      <c r="E483" s="71" t="n">
        <f aca="false">'Norms &amp; Assumptions'!B49</f>
        <v>0.05</v>
      </c>
      <c r="F483" s="63" t="n">
        <f aca="false">IF(B477="",2,IF(B477&gt;=DATE(2026,4,8),4,2))</f>
        <v>2</v>
      </c>
      <c r="G483" s="71" t="n">
        <f aca="false">E483*F483</f>
        <v>0.1</v>
      </c>
      <c r="H483" s="59"/>
      <c r="I483" s="72" t="str">
        <f aca="false">IF(H483="","",H483-G483)</f>
        <v/>
      </c>
      <c r="J483" s="33"/>
    </row>
    <row r="484" customFormat="false" ht="18" hidden="false" customHeight="true" outlineLevel="0" collapsed="false">
      <c r="A484" s="57" t="n">
        <v>480</v>
      </c>
      <c r="B484" s="73" t="n">
        <f aca="false">B477</f>
        <v>0</v>
      </c>
      <c r="C484" s="6" t="s">
        <v>98</v>
      </c>
      <c r="D484" s="8" t="s">
        <v>344</v>
      </c>
      <c r="E484" s="71" t="n">
        <f aca="false">'Norms &amp; Assumptions'!B50</f>
        <v>0.033</v>
      </c>
      <c r="F484" s="63" t="n">
        <f aca="false">IF(B477="",2,IF(B477&gt;=DATE(2026,4,8),4,2))</f>
        <v>2</v>
      </c>
      <c r="G484" s="71" t="n">
        <f aca="false">E484*F484</f>
        <v>0.066</v>
      </c>
      <c r="H484" s="59"/>
      <c r="I484" s="72" t="str">
        <f aca="false">IF(H484="","",H484-G484)</f>
        <v/>
      </c>
      <c r="J484" s="33"/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62828"/>
    <pageSetUpPr fitToPage="false"/>
  </sheetPr>
  <dimension ref="A1:E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18"/>
    <col collapsed="false" customWidth="true" hidden="false" outlineLevel="0" max="5" min="5" style="1" width="20"/>
  </cols>
  <sheetData>
    <row r="1" customFormat="false" ht="42" hidden="false" customHeight="true" outlineLevel="0" collapsed="false">
      <c r="A1" s="2" t="s">
        <v>345</v>
      </c>
      <c r="B1" s="2"/>
      <c r="C1" s="2"/>
      <c r="D1" s="2"/>
      <c r="E1" s="2"/>
    </row>
    <row r="2" customFormat="false" ht="21.75" hidden="false" customHeight="true" outlineLevel="0" collapsed="false">
      <c r="A2" s="3" t="s">
        <v>346</v>
      </c>
      <c r="B2" s="3"/>
      <c r="C2" s="3"/>
      <c r="D2" s="3"/>
      <c r="E2" s="3"/>
    </row>
    <row r="4" customFormat="false" ht="15" hidden="false" customHeight="true" outlineLevel="0" collapsed="false">
      <c r="A4" s="4" t="s">
        <v>347</v>
      </c>
      <c r="B4" s="4"/>
      <c r="C4" s="4"/>
      <c r="D4" s="4"/>
      <c r="E4" s="4"/>
    </row>
    <row r="5" customFormat="false" ht="19.5" hidden="false" customHeight="true" outlineLevel="0" collapsed="false">
      <c r="A5" s="74" t="s">
        <v>7</v>
      </c>
      <c r="B5" s="75" t="s">
        <v>348</v>
      </c>
      <c r="C5" s="6"/>
      <c r="D5" s="6"/>
      <c r="E5" s="6"/>
    </row>
    <row r="6" customFormat="false" ht="19.5" hidden="false" customHeight="true" outlineLevel="0" collapsed="false">
      <c r="A6" s="74" t="s">
        <v>349</v>
      </c>
      <c r="B6" s="75" t="s">
        <v>350</v>
      </c>
      <c r="C6" s="6" t="s">
        <v>351</v>
      </c>
      <c r="D6" s="6"/>
      <c r="E6" s="6"/>
    </row>
    <row r="7" customFormat="false" ht="19.5" hidden="false" customHeight="true" outlineLevel="0" collapsed="false">
      <c r="A7" s="74" t="s">
        <v>352</v>
      </c>
      <c r="B7" s="75" t="s">
        <v>353</v>
      </c>
      <c r="C7" s="6" t="s">
        <v>351</v>
      </c>
      <c r="D7" s="6"/>
      <c r="E7" s="6"/>
    </row>
    <row r="8" customFormat="false" ht="19.5" hidden="false" customHeight="true" outlineLevel="0" collapsed="false">
      <c r="A8" s="74" t="s">
        <v>354</v>
      </c>
      <c r="B8" s="75" t="s">
        <v>355</v>
      </c>
      <c r="C8" s="6" t="s">
        <v>356</v>
      </c>
      <c r="D8" s="6"/>
      <c r="E8" s="6"/>
    </row>
    <row r="9" customFormat="false" ht="19.5" hidden="false" customHeight="true" outlineLevel="0" collapsed="false">
      <c r="A9" s="74" t="s">
        <v>357</v>
      </c>
      <c r="B9" s="75" t="s">
        <v>358</v>
      </c>
      <c r="C9" s="6" t="s">
        <v>359</v>
      </c>
      <c r="D9" s="6"/>
      <c r="E9" s="6"/>
    </row>
    <row r="10" customFormat="false" ht="19.5" hidden="false" customHeight="true" outlineLevel="0" collapsed="false">
      <c r="A10" s="74" t="s">
        <v>360</v>
      </c>
      <c r="B10" s="75" t="s">
        <v>361</v>
      </c>
      <c r="C10" s="6" t="s">
        <v>362</v>
      </c>
      <c r="D10" s="6"/>
      <c r="E10" s="6"/>
    </row>
    <row r="12" customFormat="false" ht="15" hidden="false" customHeight="true" outlineLevel="0" collapsed="false">
      <c r="A12" s="4" t="s">
        <v>363</v>
      </c>
      <c r="B12" s="4"/>
      <c r="C12" s="4"/>
      <c r="D12" s="4"/>
      <c r="E12" s="4"/>
    </row>
    <row r="13" customFormat="false" ht="15" hidden="false" customHeight="true" outlineLevel="0" collapsed="false">
      <c r="A13" s="5" t="s">
        <v>364</v>
      </c>
      <c r="B13" s="5" t="s">
        <v>365</v>
      </c>
      <c r="C13" s="5" t="s">
        <v>366</v>
      </c>
      <c r="D13" s="5" t="s">
        <v>331</v>
      </c>
      <c r="E13" s="5" t="s">
        <v>115</v>
      </c>
    </row>
    <row r="14" customFormat="false" ht="21.75" hidden="false" customHeight="true" outlineLevel="0" collapsed="false">
      <c r="A14" s="76" t="s">
        <v>367</v>
      </c>
      <c r="B14" s="77" t="n">
        <f aca="false">SUMIF('Project Schedule'!E5:E220,"&gt;0",'Project Schedule'!F5:F220)</f>
        <v>87900</v>
      </c>
      <c r="C14" s="78" t="n">
        <f aca="false">SUM('Project Schedule'!H5:H220)</f>
        <v>0</v>
      </c>
      <c r="D14" s="61" t="n">
        <f aca="false">C14-B14</f>
        <v>-87900</v>
      </c>
      <c r="E14" s="79" t="str">
        <f aca="false">IF(C14&gt;=B14,"✅ ON TARGET","⚠ BELOW TARGET")</f>
        <v>⚠ BELOW TARGET</v>
      </c>
    </row>
    <row r="15" customFormat="false" ht="21.75" hidden="false" customHeight="true" outlineLevel="0" collapsed="false">
      <c r="A15" s="76" t="s">
        <v>368</v>
      </c>
      <c r="B15" s="80" t="n">
        <f aca="false">SUMIF('Project Schedule'!E5:E220,"&gt;0",'Project Schedule'!G5:G220)</f>
        <v>105.48</v>
      </c>
      <c r="C15" s="81" t="n">
        <f aca="false">SUM('Project Schedule'!I5:I220)</f>
        <v>0</v>
      </c>
      <c r="D15" s="62" t="n">
        <f aca="false">C15-B15</f>
        <v>-105.48</v>
      </c>
      <c r="E15" s="79" t="str">
        <f aca="false">IF(C15&gt;=B15,"✅ ON TARGET","⚠ BELOW TARGET")</f>
        <v>⚠ BELOW TARGET</v>
      </c>
    </row>
    <row r="16" customFormat="false" ht="21.75" hidden="false" customHeight="true" outlineLevel="0" collapsed="false">
      <c r="A16" s="76" t="s">
        <v>369</v>
      </c>
      <c r="B16" s="82" t="s">
        <v>370</v>
      </c>
      <c r="C16" s="83" t="n">
        <f aca="false">IFERROR(SUM('Project Schedule'!H5:H220)/SUMIF('Project Schedule'!E5:E220,"&gt;0",'Project Schedule'!F5:F220),0)</f>
        <v>0</v>
      </c>
      <c r="D16" s="84" t="n">
        <f aca="false">C16-B16</f>
        <v>-1</v>
      </c>
      <c r="E16" s="79" t="str">
        <f aca="false">IF(C16&gt;=B16,"✅ ON TARGET","⚠ BELOW TARGET")</f>
        <v>⚠ BELOW TARGET</v>
      </c>
    </row>
    <row r="17" customFormat="false" ht="21.75" hidden="false" customHeight="true" outlineLevel="0" collapsed="false">
      <c r="A17" s="76" t="s">
        <v>371</v>
      </c>
      <c r="B17" s="82" t="s">
        <v>372</v>
      </c>
      <c r="C17" s="8" t="s">
        <v>373</v>
      </c>
      <c r="D17" s="8" t="s">
        <v>374</v>
      </c>
      <c r="E17" s="8" t="s">
        <v>374</v>
      </c>
    </row>
    <row r="18" customFormat="false" ht="21.75" hidden="false" customHeight="true" outlineLevel="0" collapsed="false">
      <c r="A18" s="76" t="s">
        <v>375</v>
      </c>
      <c r="B18" s="82" t="s">
        <v>376</v>
      </c>
      <c r="C18" s="8" t="s">
        <v>373</v>
      </c>
      <c r="D18" s="8" t="s">
        <v>374</v>
      </c>
      <c r="E18" s="8" t="s">
        <v>374</v>
      </c>
    </row>
    <row r="19" customFormat="false" ht="21.75" hidden="false" customHeight="true" outlineLevel="0" collapsed="false">
      <c r="A19" s="76" t="s">
        <v>377</v>
      </c>
      <c r="B19" s="82" t="s">
        <v>378</v>
      </c>
      <c r="C19" s="8" t="s">
        <v>373</v>
      </c>
      <c r="D19" s="8" t="s">
        <v>374</v>
      </c>
      <c r="E19" s="8" t="s">
        <v>374</v>
      </c>
    </row>
    <row r="20" customFormat="false" ht="21.75" hidden="false" customHeight="true" outlineLevel="0" collapsed="false">
      <c r="A20" s="76" t="s">
        <v>379</v>
      </c>
      <c r="B20" s="82" t="s">
        <v>380</v>
      </c>
      <c r="C20" s="8" t="s">
        <v>373</v>
      </c>
      <c r="D20" s="8" t="s">
        <v>374</v>
      </c>
      <c r="E20" s="8" t="s">
        <v>374</v>
      </c>
    </row>
    <row r="23" customFormat="false" ht="15" hidden="false" customHeight="true" outlineLevel="0" collapsed="false">
      <c r="A23" s="4" t="s">
        <v>381</v>
      </c>
      <c r="B23" s="4"/>
      <c r="C23" s="4"/>
      <c r="D23" s="4"/>
      <c r="E23" s="4"/>
    </row>
    <row r="24" customFormat="false" ht="15" hidden="false" customHeight="true" outlineLevel="0" collapsed="false">
      <c r="A24" s="5" t="s">
        <v>382</v>
      </c>
      <c r="B24" s="5" t="s">
        <v>383</v>
      </c>
      <c r="C24" s="5" t="s">
        <v>384</v>
      </c>
      <c r="D24" s="5" t="s">
        <v>385</v>
      </c>
      <c r="E24" s="5" t="s">
        <v>386</v>
      </c>
    </row>
    <row r="25" customFormat="false" ht="15" hidden="false" customHeight="true" outlineLevel="0" collapsed="false">
      <c r="A25" s="85" t="s">
        <v>387</v>
      </c>
      <c r="B25" s="86" t="s">
        <v>350</v>
      </c>
      <c r="C25" s="86" t="s">
        <v>388</v>
      </c>
      <c r="D25" s="86" t="s">
        <v>372</v>
      </c>
      <c r="E25" s="86" t="s">
        <v>378</v>
      </c>
    </row>
    <row r="26" customFormat="false" ht="15" hidden="false" customHeight="true" outlineLevel="0" collapsed="false">
      <c r="A26" s="87" t="s">
        <v>389</v>
      </c>
      <c r="B26" s="88" t="s">
        <v>353</v>
      </c>
      <c r="C26" s="88" t="s">
        <v>390</v>
      </c>
      <c r="D26" s="88" t="s">
        <v>391</v>
      </c>
      <c r="E26" s="88" t="s">
        <v>392</v>
      </c>
    </row>
    <row r="28" customFormat="false" ht="15" hidden="false" customHeight="true" outlineLevel="0" collapsed="false">
      <c r="A28" s="89" t="s">
        <v>393</v>
      </c>
      <c r="B28" s="89"/>
      <c r="C28" s="89"/>
      <c r="D28" s="89"/>
      <c r="E28" s="89"/>
    </row>
    <row r="29" customFormat="false" ht="19.5" hidden="false" customHeight="true" outlineLevel="0" collapsed="false">
      <c r="A29" s="90" t="s">
        <v>394</v>
      </c>
      <c r="B29" s="90"/>
      <c r="C29" s="90"/>
      <c r="D29" s="90"/>
      <c r="E29" s="90"/>
    </row>
    <row r="30" customFormat="false" ht="19.5" hidden="false" customHeight="true" outlineLevel="0" collapsed="false">
      <c r="A30" s="91" t="s">
        <v>395</v>
      </c>
      <c r="B30" s="91"/>
      <c r="C30" s="91"/>
      <c r="D30" s="91"/>
      <c r="E30" s="91"/>
    </row>
    <row r="31" customFormat="false" ht="19.5" hidden="false" customHeight="true" outlineLevel="0" collapsed="false">
      <c r="A31" s="90" t="s">
        <v>396</v>
      </c>
      <c r="B31" s="90"/>
      <c r="C31" s="90"/>
      <c r="D31" s="90"/>
      <c r="E31" s="90"/>
    </row>
    <row r="32" customFormat="false" ht="19.5" hidden="false" customHeight="true" outlineLevel="0" collapsed="false">
      <c r="A32" s="91" t="s">
        <v>397</v>
      </c>
      <c r="B32" s="91"/>
      <c r="C32" s="91"/>
      <c r="D32" s="91"/>
      <c r="E32" s="91"/>
    </row>
    <row r="33" customFormat="false" ht="19.5" hidden="false" customHeight="true" outlineLevel="0" collapsed="false">
      <c r="A33" s="90" t="s">
        <v>398</v>
      </c>
      <c r="B33" s="90"/>
      <c r="C33" s="90"/>
      <c r="D33" s="90"/>
      <c r="E33" s="90"/>
    </row>
    <row r="34" customFormat="false" ht="19.5" hidden="false" customHeight="true" outlineLevel="0" collapsed="false">
      <c r="A34" s="91" t="s">
        <v>399</v>
      </c>
      <c r="B34" s="91"/>
      <c r="C34" s="91"/>
      <c r="D34" s="91"/>
      <c r="E34" s="91"/>
    </row>
  </sheetData>
  <mergeCells count="18">
    <mergeCell ref="A1:E1"/>
    <mergeCell ref="A2:E2"/>
    <mergeCell ref="A4:E4"/>
    <mergeCell ref="C5:E5"/>
    <mergeCell ref="C6:E6"/>
    <mergeCell ref="C7:E7"/>
    <mergeCell ref="C8:E8"/>
    <mergeCell ref="C9:E9"/>
    <mergeCell ref="C10:E10"/>
    <mergeCell ref="A12:E12"/>
    <mergeCell ref="A23:E23"/>
    <mergeCell ref="A28:E28"/>
    <mergeCell ref="A29:E29"/>
    <mergeCell ref="A30:E30"/>
    <mergeCell ref="A31:E31"/>
    <mergeCell ref="A32:E32"/>
    <mergeCell ref="A33:E33"/>
    <mergeCell ref="A34:E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2026-03-22T10:55:06Z</dcterms:created>
  <dc:creator>openpyxl</dc:creator>
  <dc:description/>
  <dc:language>en-US</dc:language>
  <cp:lastModifiedBy/>
  <dcterms:modified xsi:type="dcterms:W3CDTF">2026-03-22T10:55:45Z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